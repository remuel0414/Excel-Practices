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emuel\Downloads\"/>
    </mc:Choice>
  </mc:AlternateContent>
  <xr:revisionPtr revIDLastSave="0" documentId="13_ncr:1_{C44F2AF5-DB31-4BF9-998C-7FECCEF78999}" xr6:coauthVersionLast="47" xr6:coauthVersionMax="47" xr10:uidLastSave="{00000000-0000-0000-0000-000000000000}"/>
  <bookViews>
    <workbookView xWindow="0" yWindow="0" windowWidth="14400" windowHeight="15600" activeTab="2" xr2:uid="{00000000-000D-0000-FFFF-FFFF00000000}"/>
  </bookViews>
  <sheets>
    <sheet name="Aggregation" sheetId="1" r:id="rId1"/>
    <sheet name="Lookups" sheetId="2" r:id="rId2"/>
    <sheet name="IndexMatch" sheetId="3" r:id="rId3"/>
    <sheet name="IF_String" sheetId="4" r:id="rId4"/>
    <sheet name="Cleaning" sheetId="5" r:id="rId5"/>
    <sheet name="Filters_Format" sheetId="6" r:id="rId6"/>
    <sheet name="PivotSource" sheetId="7" r:id="rId7"/>
    <sheet name="Sheet4" sheetId="11" r:id="rId8"/>
  </sheets>
  <definedNames>
    <definedName name="_xlnm._FilterDatabase" localSheetId="5" hidden="1">Filters_Format!$A$4:$C$8</definedName>
  </definedNames>
  <calcPr calcId="191029"/>
  <pivotCaches>
    <pivotCache cacheId="4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" l="1"/>
  <c r="C13" i="2"/>
  <c r="C14" i="2"/>
  <c r="C15" i="2"/>
  <c r="C12" i="2"/>
  <c r="B13" i="2"/>
  <c r="B14" i="2"/>
  <c r="B15" i="2"/>
  <c r="B12" i="2"/>
  <c r="D13" i="1"/>
  <c r="D14" i="1"/>
  <c r="D15" i="1"/>
  <c r="D12" i="1"/>
  <c r="E6" i="4"/>
  <c r="E7" i="4"/>
  <c r="E8" i="4"/>
  <c r="E5" i="4"/>
  <c r="D6" i="4"/>
  <c r="D7" i="4"/>
  <c r="D8" i="4"/>
  <c r="D5" i="4"/>
  <c r="G5" i="3"/>
  <c r="H20" i="2"/>
  <c r="H21" i="2"/>
  <c r="H22" i="2"/>
  <c r="H19" i="2"/>
  <c r="G20" i="2"/>
  <c r="G21" i="2"/>
  <c r="G22" i="2"/>
  <c r="G19" i="2"/>
  <c r="H13" i="2"/>
  <c r="H14" i="2"/>
  <c r="H15" i="2"/>
  <c r="H12" i="2"/>
  <c r="G14" i="2"/>
  <c r="G15" i="2"/>
  <c r="G13" i="2"/>
  <c r="E12" i="1"/>
  <c r="B12" i="1"/>
</calcChain>
</file>

<file path=xl/sharedStrings.xml><?xml version="1.0" encoding="utf-8"?>
<sst xmlns="http://schemas.openxmlformats.org/spreadsheetml/2006/main" count="155" uniqueCount="85">
  <si>
    <t>Instructions:</t>
  </si>
  <si>
    <t>Use SUM, AVERAGE, COUNT, MIN, MAX, and COUNTIF to answer questions below the table. Examples: Total Sales, Average Sales per Region, Highest Sale.</t>
  </si>
  <si>
    <t>Date</t>
  </si>
  <si>
    <t>Region</t>
  </si>
  <si>
    <t>Sales</t>
  </si>
  <si>
    <t>2025-01-01</t>
  </si>
  <si>
    <t>North</t>
  </si>
  <si>
    <t>2025-01-02</t>
  </si>
  <si>
    <t>South</t>
  </si>
  <si>
    <t>2025-01-03</t>
  </si>
  <si>
    <t>East</t>
  </si>
  <si>
    <t>2025-01-04</t>
  </si>
  <si>
    <t>West</t>
  </si>
  <si>
    <t>2025-01-05</t>
  </si>
  <si>
    <t>Practice VLOOKUP, HLOOKUP, and XLOOKUP. Retrieve the Department and Salary based on Employee ID.</t>
  </si>
  <si>
    <t>Employee ID</t>
  </si>
  <si>
    <t>Name</t>
  </si>
  <si>
    <t>Department</t>
  </si>
  <si>
    <t>Salary</t>
  </si>
  <si>
    <t>Ana</t>
  </si>
  <si>
    <t>IT</t>
  </si>
  <si>
    <t>Ben</t>
  </si>
  <si>
    <t>HR</t>
  </si>
  <si>
    <t>Cara</t>
  </si>
  <si>
    <t>Finance</t>
  </si>
  <si>
    <t>Dan</t>
  </si>
  <si>
    <t>Marketing</t>
  </si>
  <si>
    <t>Use INDEX and MATCH to find the Price of a product based on Product Name.</t>
  </si>
  <si>
    <t>Product ID</t>
  </si>
  <si>
    <t>Product Name</t>
  </si>
  <si>
    <t>Price</t>
  </si>
  <si>
    <t>P01</t>
  </si>
  <si>
    <t>Keyboard</t>
  </si>
  <si>
    <t>P02</t>
  </si>
  <si>
    <t>Mouse</t>
  </si>
  <si>
    <t>P03</t>
  </si>
  <si>
    <t>Monitor</t>
  </si>
  <si>
    <t>P04</t>
  </si>
  <si>
    <t>Webcam</t>
  </si>
  <si>
    <t>Use IF, LEFT, RIGHT, MID, LEN, CONCAT, and UPPER/LOWER. Create a Status column (Pass if Score &gt;=75, else Fail) and clean names.</t>
  </si>
  <si>
    <t>Student Name</t>
  </si>
  <si>
    <t>Score</t>
  </si>
  <si>
    <t>john doe</t>
  </si>
  <si>
    <t>mary ann</t>
  </si>
  <si>
    <t>paul cruz</t>
  </si>
  <si>
    <t>lisa tan</t>
  </si>
  <si>
    <t>Remove duplicates, clean extra spaces, and split Full Name into First and Last Name using Text to Columns.</t>
  </si>
  <si>
    <t>Customer ID</t>
  </si>
  <si>
    <t>Email</t>
  </si>
  <si>
    <t>juan@email.com</t>
  </si>
  <si>
    <t>maria@email.com</t>
  </si>
  <si>
    <t>pedro@email.com</t>
  </si>
  <si>
    <t>Apply filters to show only Sales above 1000. Use conditional formatting to highlight high values.</t>
  </si>
  <si>
    <t>Item</t>
  </si>
  <si>
    <t>Category</t>
  </si>
  <si>
    <t>Laptop</t>
  </si>
  <si>
    <t>Electronics</t>
  </si>
  <si>
    <t>Chair</t>
  </si>
  <si>
    <t>Furniture</t>
  </si>
  <si>
    <t>Phone</t>
  </si>
  <si>
    <t>Desk</t>
  </si>
  <si>
    <t>Create a Pivot Table in a new sheet. Show Total Sales by Region and by Product.</t>
  </si>
  <si>
    <t>Product</t>
  </si>
  <si>
    <t>Total Sales</t>
  </si>
  <si>
    <t>Highest Sale</t>
  </si>
  <si>
    <t>Average Sales (Per Region)</t>
  </si>
  <si>
    <t>VLOOKUPS</t>
  </si>
  <si>
    <t>HLOOKUPS</t>
  </si>
  <si>
    <t>XLOOKUPS</t>
  </si>
  <si>
    <t>Select:</t>
  </si>
  <si>
    <t>INDEX MATCH</t>
  </si>
  <si>
    <t>Clean Names</t>
  </si>
  <si>
    <t>Status</t>
  </si>
  <si>
    <t>First Name</t>
  </si>
  <si>
    <t>Last Name</t>
  </si>
  <si>
    <t>Juan</t>
  </si>
  <si>
    <t>Dela Cruz</t>
  </si>
  <si>
    <t>Maria</t>
  </si>
  <si>
    <t>Santos</t>
  </si>
  <si>
    <t>Pedro</t>
  </si>
  <si>
    <t>Reyes</t>
  </si>
  <si>
    <t>Sum of Sales</t>
  </si>
  <si>
    <t>Column Labels</t>
  </si>
  <si>
    <t>Grand Total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</si>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</sst>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muel" refreshedDate="46053.619436111112" createdVersion="8" refreshedVersion="8" minRefreshableVersion="3" recordCount="6" xr:uid="{8E00ABD3-D8FB-4521-8454-0BE052764402}">
  <cacheSource type="worksheet">
    <worksheetSource ref="A4:C10" sheet="PivotSource"/>
  </cacheSource>
  <cacheFields count="3">
    <cacheField name="Region" numFmtId="0">
      <sharedItems count="4">
        <s v="North"/>
        <s v="South"/>
        <s v="East"/>
        <s v="West"/>
      </sharedItems>
    </cacheField>
    <cacheField name="Product" numFmtId="0">
      <sharedItems count="2">
        <s v="Laptop"/>
        <s v="Phone"/>
      </sharedItems>
    </cacheField>
    <cacheField name="Sales" numFmtId="0">
      <sharedItems containsSemiMixedTypes="0" containsString="0" containsNumber="1" containsInteger="1" minValue="16000" maxValue="4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40000"/>
  </r>
  <r>
    <x v="0"/>
    <x v="1"/>
    <n v="20000"/>
  </r>
  <r>
    <x v="1"/>
    <x v="0"/>
    <n v="35000"/>
  </r>
  <r>
    <x v="1"/>
    <x v="1"/>
    <n v="18000"/>
  </r>
  <r>
    <x v="2"/>
    <x v="0"/>
    <n v="42000"/>
  </r>
  <r>
    <x v="3"/>
    <x v="1"/>
    <n v="1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CFEDD-0629-482D-8BAC-C78580A7957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10" firstHeaderRow="1" firstDataRow="2" firstDataCol="1"/>
  <pivotFields count="3">
    <pivotField axis="axisRow" showAll="0">
      <items count="5">
        <item x="2"/>
        <item x="0"/>
        <item x="1"/>
        <item x="3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96BBF2-C00A-4F2B-A147-F2A2606E3B10}" name="Table1" displayName="Table1" ref="A4:C8" totalsRowShown="0">
  <autoFilter ref="A4:C8" xr:uid="{00000000-0001-0000-0500-000000000000}"/>
  <tableColumns count="3">
    <tableColumn id="1" xr3:uid="{5845CD0E-0CE5-4200-979F-5B5832BABB13}" name="Item"/>
    <tableColumn id="2" xr3:uid="{B7A7458A-AF71-49BA-9383-C5C421BCBA9B}" name="Category"/>
    <tableColumn id="3" xr3:uid="{CBE8D419-F79D-4166-A744-78E2EA986038}" name="S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D12" sqref="D12"/>
    </sheetView>
  </sheetViews>
  <sheetFormatPr defaultRowHeight="15" x14ac:dyDescent="0.25"/>
  <cols>
    <col min="1" max="1" width="27.140625" customWidth="1"/>
    <col min="2" max="2" width="10.42578125" bestFit="1" customWidth="1"/>
    <col min="3" max="3" width="9.5703125" bestFit="1" customWidth="1"/>
    <col min="4" max="4" width="25.140625" bestFit="1" customWidth="1"/>
    <col min="5" max="6" width="11.85546875" bestFit="1" customWidth="1"/>
  </cols>
  <sheetData>
    <row r="1" spans="1:5" x14ac:dyDescent="0.25">
      <c r="A1" t="s">
        <v>0</v>
      </c>
    </row>
    <row r="2" spans="1:5" x14ac:dyDescent="0.25">
      <c r="A2" t="s">
        <v>1</v>
      </c>
    </row>
    <row r="4" spans="1:5" x14ac:dyDescent="0.25">
      <c r="A4" t="s">
        <v>2</v>
      </c>
      <c r="B4" t="s">
        <v>3</v>
      </c>
      <c r="C4" t="s">
        <v>4</v>
      </c>
    </row>
    <row r="5" spans="1:5" x14ac:dyDescent="0.25">
      <c r="A5" t="s">
        <v>5</v>
      </c>
      <c r="B5" t="s">
        <v>6</v>
      </c>
      <c r="C5">
        <v>1200</v>
      </c>
    </row>
    <row r="6" spans="1:5" x14ac:dyDescent="0.25">
      <c r="A6" t="s">
        <v>7</v>
      </c>
      <c r="B6" t="s">
        <v>8</v>
      </c>
      <c r="C6">
        <v>950</v>
      </c>
    </row>
    <row r="7" spans="1:5" x14ac:dyDescent="0.25">
      <c r="A7" t="s">
        <v>9</v>
      </c>
      <c r="B7" t="s">
        <v>10</v>
      </c>
      <c r="C7">
        <v>1430</v>
      </c>
    </row>
    <row r="8" spans="1:5" x14ac:dyDescent="0.25">
      <c r="A8" t="s">
        <v>11</v>
      </c>
      <c r="B8" t="s">
        <v>12</v>
      </c>
      <c r="C8">
        <v>800</v>
      </c>
    </row>
    <row r="9" spans="1:5" x14ac:dyDescent="0.25">
      <c r="A9" t="s">
        <v>13</v>
      </c>
      <c r="B9" t="s">
        <v>6</v>
      </c>
      <c r="C9">
        <v>1100</v>
      </c>
    </row>
    <row r="11" spans="1:5" x14ac:dyDescent="0.25">
      <c r="B11" t="s">
        <v>63</v>
      </c>
      <c r="D11" t="s">
        <v>65</v>
      </c>
      <c r="E11" t="s">
        <v>64</v>
      </c>
    </row>
    <row r="12" spans="1:5" x14ac:dyDescent="0.25">
      <c r="B12">
        <f>SUM(C5:C9)</f>
        <v>5480</v>
      </c>
      <c r="C12" t="s">
        <v>6</v>
      </c>
      <c r="D12">
        <f>AVERAGE(C5:C9)</f>
        <v>1096</v>
      </c>
      <c r="E12">
        <f>MAX(C5:C9)</f>
        <v>1430</v>
      </c>
    </row>
    <row r="13" spans="1:5" x14ac:dyDescent="0.25">
      <c r="C13" t="s">
        <v>8</v>
      </c>
      <c r="D13">
        <f t="shared" ref="D13:D15" si="0">AVERAGE(C6:C10)</f>
        <v>1070</v>
      </c>
    </row>
    <row r="14" spans="1:5" x14ac:dyDescent="0.25">
      <c r="C14" t="s">
        <v>10</v>
      </c>
      <c r="D14">
        <f t="shared" si="0"/>
        <v>1110</v>
      </c>
    </row>
    <row r="15" spans="1:5" x14ac:dyDescent="0.25">
      <c r="C15" t="s">
        <v>12</v>
      </c>
      <c r="D15">
        <f t="shared" si="0"/>
        <v>950</v>
      </c>
    </row>
  </sheetData>
  <conditionalFormatting sqref="C11:D1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{C391BC8E-14E5-44B5-80FC-449624E05514}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91BC8E-14E5-44B5-80FC-449624E055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C11:D15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workbookViewId="0">
      <selection activeCell="G12" sqref="G12"/>
    </sheetView>
  </sheetViews>
  <sheetFormatPr defaultRowHeight="15" x14ac:dyDescent="0.25"/>
  <cols>
    <col min="1" max="1" width="12.28515625" customWidth="1"/>
    <col min="3" max="3" width="11.7109375" bestFit="1" customWidth="1"/>
    <col min="6" max="6" width="12.140625" bestFit="1" customWidth="1"/>
    <col min="7" max="7" width="8.42578125" bestFit="1" customWidth="1"/>
    <col min="8" max="8" width="11.7109375" bestFit="1" customWidth="1"/>
    <col min="9" max="9" width="7.85546875" bestFit="1" customWidth="1"/>
    <col min="10" max="10" width="10" bestFit="1" customWidth="1"/>
  </cols>
  <sheetData>
    <row r="1" spans="1:10" x14ac:dyDescent="0.25">
      <c r="A1" t="s">
        <v>0</v>
      </c>
    </row>
    <row r="2" spans="1:10" x14ac:dyDescent="0.25">
      <c r="A2" t="s">
        <v>14</v>
      </c>
    </row>
    <row r="4" spans="1:10" x14ac:dyDescent="0.25">
      <c r="A4" t="s">
        <v>15</v>
      </c>
      <c r="B4" t="s">
        <v>16</v>
      </c>
      <c r="C4" t="s">
        <v>17</v>
      </c>
      <c r="D4" t="s">
        <v>18</v>
      </c>
      <c r="F4" t="s">
        <v>15</v>
      </c>
      <c r="G4">
        <v>101</v>
      </c>
      <c r="H4">
        <v>102</v>
      </c>
      <c r="I4">
        <v>103</v>
      </c>
      <c r="J4">
        <v>104</v>
      </c>
    </row>
    <row r="5" spans="1:10" x14ac:dyDescent="0.25">
      <c r="A5">
        <v>101</v>
      </c>
      <c r="B5" t="s">
        <v>19</v>
      </c>
      <c r="C5" t="s">
        <v>20</v>
      </c>
      <c r="D5">
        <v>35000</v>
      </c>
      <c r="F5" t="s">
        <v>16</v>
      </c>
      <c r="G5" t="s">
        <v>19</v>
      </c>
      <c r="H5" t="s">
        <v>21</v>
      </c>
      <c r="I5" t="s">
        <v>23</v>
      </c>
      <c r="J5" t="s">
        <v>25</v>
      </c>
    </row>
    <row r="6" spans="1:10" x14ac:dyDescent="0.25">
      <c r="A6">
        <v>102</v>
      </c>
      <c r="B6" t="s">
        <v>21</v>
      </c>
      <c r="C6" t="s">
        <v>22</v>
      </c>
      <c r="D6">
        <v>28000</v>
      </c>
      <c r="F6" t="s">
        <v>17</v>
      </c>
      <c r="G6" t="s">
        <v>20</v>
      </c>
      <c r="H6" t="s">
        <v>22</v>
      </c>
      <c r="I6" t="s">
        <v>24</v>
      </c>
      <c r="J6" t="s">
        <v>26</v>
      </c>
    </row>
    <row r="7" spans="1:10" x14ac:dyDescent="0.25">
      <c r="A7">
        <v>103</v>
      </c>
      <c r="B7" t="s">
        <v>23</v>
      </c>
      <c r="C7" t="s">
        <v>24</v>
      </c>
      <c r="D7">
        <v>40000</v>
      </c>
      <c r="F7" t="s">
        <v>18</v>
      </c>
      <c r="G7">
        <v>35000</v>
      </c>
      <c r="H7">
        <v>28000</v>
      </c>
      <c r="I7">
        <v>40000</v>
      </c>
      <c r="J7">
        <v>30000</v>
      </c>
    </row>
    <row r="8" spans="1:10" x14ac:dyDescent="0.25">
      <c r="A8">
        <v>104</v>
      </c>
      <c r="B8" t="s">
        <v>25</v>
      </c>
      <c r="C8" t="s">
        <v>26</v>
      </c>
      <c r="D8">
        <v>30000</v>
      </c>
    </row>
    <row r="10" spans="1:10" x14ac:dyDescent="0.25">
      <c r="A10" t="s">
        <v>66</v>
      </c>
      <c r="F10" t="s">
        <v>67</v>
      </c>
    </row>
    <row r="11" spans="1:10" x14ac:dyDescent="0.25">
      <c r="A11" t="s">
        <v>15</v>
      </c>
      <c r="B11" t="s">
        <v>18</v>
      </c>
      <c r="C11" t="s">
        <v>17</v>
      </c>
      <c r="F11" t="s">
        <v>15</v>
      </c>
      <c r="G11" t="s">
        <v>18</v>
      </c>
      <c r="H11" t="s">
        <v>17</v>
      </c>
    </row>
    <row r="12" spans="1:10" x14ac:dyDescent="0.25">
      <c r="A12">
        <v>101</v>
      </c>
      <c r="B12">
        <f>VLOOKUP(A12,$A$4:$D$8,4,FALSE)</f>
        <v>35000</v>
      </c>
      <c r="C12" t="str">
        <f>VLOOKUP(A12,$A$4:$D$8,3,FALSE)</f>
        <v>IT</v>
      </c>
      <c r="F12">
        <v>101</v>
      </c>
      <c r="G12">
        <f>HLOOKUP(F12,$F$4:$J$7,4,FALSE)</f>
        <v>35000</v>
      </c>
      <c r="H12" t="str">
        <f>HLOOKUP(F12,$F$4:$J$7,3,FALSE)</f>
        <v>IT</v>
      </c>
    </row>
    <row r="13" spans="1:10" x14ac:dyDescent="0.25">
      <c r="A13">
        <v>102</v>
      </c>
      <c r="B13">
        <f t="shared" ref="B13:B15" si="0">VLOOKUP(A13,$A$4:$D$8,4,FALSE)</f>
        <v>28000</v>
      </c>
      <c r="C13" t="str">
        <f t="shared" ref="C13:C15" si="1">VLOOKUP(A13,$A$4:$D$8,3,FALSE)</f>
        <v>HR</v>
      </c>
      <c r="F13">
        <v>102</v>
      </c>
      <c r="G13">
        <f>HLOOKUP(F13,$F$4:$J$7,4,FALSE)</f>
        <v>28000</v>
      </c>
      <c r="H13" t="str">
        <f t="shared" ref="H13:H15" si="2">HLOOKUP(F13,$F$4:$J$7,3,FALSE)</f>
        <v>HR</v>
      </c>
    </row>
    <row r="14" spans="1:10" x14ac:dyDescent="0.25">
      <c r="A14">
        <v>103</v>
      </c>
      <c r="B14">
        <f t="shared" si="0"/>
        <v>40000</v>
      </c>
      <c r="C14" t="str">
        <f t="shared" si="1"/>
        <v>Finance</v>
      </c>
      <c r="F14">
        <v>103</v>
      </c>
      <c r="G14">
        <f>HLOOKUP(F14,$F$4:$J$7,4,FALSE)</f>
        <v>40000</v>
      </c>
      <c r="H14" t="str">
        <f t="shared" si="2"/>
        <v>Finance</v>
      </c>
    </row>
    <row r="15" spans="1:10" x14ac:dyDescent="0.25">
      <c r="A15">
        <v>104</v>
      </c>
      <c r="B15">
        <f t="shared" si="0"/>
        <v>30000</v>
      </c>
      <c r="C15" t="str">
        <f t="shared" si="1"/>
        <v>Marketing</v>
      </c>
      <c r="F15">
        <v>104</v>
      </c>
      <c r="G15">
        <f>HLOOKUP(F15,$F$4:$J$7,4,FALSE)</f>
        <v>30000</v>
      </c>
      <c r="H15" t="str">
        <f t="shared" si="2"/>
        <v>Marketing</v>
      </c>
    </row>
    <row r="17" spans="1:8" x14ac:dyDescent="0.25">
      <c r="B17" t="s">
        <v>16</v>
      </c>
      <c r="C17" t="s">
        <v>17</v>
      </c>
      <c r="D17" t="s">
        <v>18</v>
      </c>
      <c r="F17" t="s">
        <v>68</v>
      </c>
    </row>
    <row r="18" spans="1:8" x14ac:dyDescent="0.25">
      <c r="B18" t="s">
        <v>19</v>
      </c>
      <c r="C18" t="s">
        <v>20</v>
      </c>
      <c r="D18">
        <v>35000</v>
      </c>
      <c r="F18" t="s">
        <v>15</v>
      </c>
      <c r="G18" t="s">
        <v>18</v>
      </c>
      <c r="H18" t="s">
        <v>17</v>
      </c>
    </row>
    <row r="19" spans="1:8" x14ac:dyDescent="0.25">
      <c r="B19" t="s">
        <v>21</v>
      </c>
      <c r="C19" t="s">
        <v>22</v>
      </c>
      <c r="D19">
        <v>28000</v>
      </c>
      <c r="F19">
        <v>101</v>
      </c>
      <c r="G19">
        <f>_xlfn.XLOOKUP(F19,A23:A26,D18:D21)</f>
        <v>35000</v>
      </c>
      <c r="H19" t="str">
        <f>_xlfn.XLOOKUP(F19,A23:A26,C18:C21)</f>
        <v>IT</v>
      </c>
    </row>
    <row r="20" spans="1:8" x14ac:dyDescent="0.25">
      <c r="B20" t="s">
        <v>23</v>
      </c>
      <c r="C20" t="s">
        <v>24</v>
      </c>
      <c r="D20">
        <v>40000</v>
      </c>
      <c r="F20">
        <v>102</v>
      </c>
      <c r="G20">
        <f t="shared" ref="G20:G22" si="3">_xlfn.XLOOKUP(F20,A24:A27,D19:D22)</f>
        <v>28000</v>
      </c>
      <c r="H20" t="str">
        <f t="shared" ref="H20:H22" si="4">_xlfn.XLOOKUP(F20,A24:A27,C19:C22)</f>
        <v>HR</v>
      </c>
    </row>
    <row r="21" spans="1:8" x14ac:dyDescent="0.25">
      <c r="B21" t="s">
        <v>25</v>
      </c>
      <c r="C21" t="s">
        <v>26</v>
      </c>
      <c r="D21">
        <v>30000</v>
      </c>
      <c r="F21">
        <v>103</v>
      </c>
      <c r="G21">
        <f t="shared" si="3"/>
        <v>40000</v>
      </c>
      <c r="H21" t="str">
        <f t="shared" si="4"/>
        <v>Finance</v>
      </c>
    </row>
    <row r="22" spans="1:8" x14ac:dyDescent="0.25">
      <c r="A22" t="s">
        <v>15</v>
      </c>
      <c r="F22">
        <v>104</v>
      </c>
      <c r="G22">
        <f t="shared" si="3"/>
        <v>30000</v>
      </c>
      <c r="H22" t="str">
        <f t="shared" si="4"/>
        <v>Marketing</v>
      </c>
    </row>
    <row r="23" spans="1:8" x14ac:dyDescent="0.25">
      <c r="A23">
        <v>101</v>
      </c>
    </row>
    <row r="24" spans="1:8" x14ac:dyDescent="0.25">
      <c r="A24">
        <v>102</v>
      </c>
    </row>
    <row r="25" spans="1:8" x14ac:dyDescent="0.25">
      <c r="A25">
        <v>103</v>
      </c>
    </row>
    <row r="26" spans="1:8" x14ac:dyDescent="0.25">
      <c r="A26">
        <v>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tabSelected="1" workbookViewId="0">
      <selection activeCell="G8" sqref="G8"/>
    </sheetView>
  </sheetViews>
  <sheetFormatPr defaultRowHeight="15" x14ac:dyDescent="0.25"/>
  <cols>
    <col min="1" max="1" width="15" customWidth="1"/>
    <col min="2" max="2" width="13.7109375" bestFit="1" customWidth="1"/>
    <col min="5" max="5" width="13.7109375" bestFit="1" customWidth="1"/>
    <col min="8" max="8" width="13.7109375" bestFit="1" customWidth="1"/>
  </cols>
  <sheetData>
    <row r="1" spans="1:7" x14ac:dyDescent="0.25">
      <c r="A1" t="s">
        <v>0</v>
      </c>
    </row>
    <row r="2" spans="1:7" x14ac:dyDescent="0.25">
      <c r="A2" t="s">
        <v>27</v>
      </c>
    </row>
    <row r="3" spans="1:7" x14ac:dyDescent="0.25">
      <c r="F3" t="s">
        <v>70</v>
      </c>
    </row>
    <row r="4" spans="1:7" x14ac:dyDescent="0.25">
      <c r="A4" t="s">
        <v>28</v>
      </c>
      <c r="B4" t="s">
        <v>29</v>
      </c>
      <c r="C4" t="s">
        <v>30</v>
      </c>
      <c r="F4" t="s">
        <v>69</v>
      </c>
      <c r="G4" t="s">
        <v>36</v>
      </c>
    </row>
    <row r="5" spans="1:7" x14ac:dyDescent="0.25">
      <c r="A5" t="s">
        <v>31</v>
      </c>
      <c r="B5" t="s">
        <v>32</v>
      </c>
      <c r="C5">
        <v>700</v>
      </c>
      <c r="F5" t="s">
        <v>30</v>
      </c>
      <c r="G5">
        <f>INDEX($C$5:$C$8,MATCH($G$4,$B$5:$B$8,0))</f>
        <v>5500</v>
      </c>
    </row>
    <row r="6" spans="1:7" x14ac:dyDescent="0.25">
      <c r="A6" t="s">
        <v>33</v>
      </c>
      <c r="B6" t="s">
        <v>34</v>
      </c>
      <c r="C6">
        <v>400</v>
      </c>
    </row>
    <row r="7" spans="1:7" x14ac:dyDescent="0.25">
      <c r="A7" t="s">
        <v>35</v>
      </c>
      <c r="B7" t="s">
        <v>36</v>
      </c>
      <c r="C7">
        <v>5500</v>
      </c>
    </row>
    <row r="8" spans="1:7" x14ac:dyDescent="0.25">
      <c r="A8" t="s">
        <v>37</v>
      </c>
      <c r="B8" t="s">
        <v>38</v>
      </c>
      <c r="C8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activeCell="G6" sqref="G6"/>
    </sheetView>
  </sheetViews>
  <sheetFormatPr defaultRowHeight="15" x14ac:dyDescent="0.25"/>
  <cols>
    <col min="1" max="1" width="17.28515625" customWidth="1"/>
    <col min="2" max="2" width="5.85546875" bestFit="1" customWidth="1"/>
    <col min="4" max="4" width="12.5703125" bestFit="1" customWidth="1"/>
  </cols>
  <sheetData>
    <row r="1" spans="1:5" x14ac:dyDescent="0.25">
      <c r="A1" t="s">
        <v>0</v>
      </c>
    </row>
    <row r="2" spans="1:5" x14ac:dyDescent="0.25">
      <c r="A2" t="s">
        <v>39</v>
      </c>
    </row>
    <row r="4" spans="1:5" x14ac:dyDescent="0.25">
      <c r="A4" t="s">
        <v>40</v>
      </c>
      <c r="B4" t="s">
        <v>41</v>
      </c>
      <c r="D4" t="s">
        <v>71</v>
      </c>
      <c r="E4" t="s">
        <v>72</v>
      </c>
    </row>
    <row r="5" spans="1:5" x14ac:dyDescent="0.25">
      <c r="A5" t="s">
        <v>42</v>
      </c>
      <c r="B5">
        <v>82</v>
      </c>
      <c r="D5" t="str">
        <f>TRIM(PROPER(A5))</f>
        <v>John Doe</v>
      </c>
      <c r="E5" t="str">
        <f>IF(B5&gt;=75,"Pass","Fail")</f>
        <v>Pass</v>
      </c>
    </row>
    <row r="6" spans="1:5" x14ac:dyDescent="0.25">
      <c r="A6" t="s">
        <v>43</v>
      </c>
      <c r="B6">
        <v>74</v>
      </c>
      <c r="D6" t="str">
        <f t="shared" ref="D6:D8" si="0">TRIM(PROPER(A6))</f>
        <v>Mary Ann</v>
      </c>
      <c r="E6" t="str">
        <f t="shared" ref="E6:E8" si="1">IF(B6&gt;=75,"Pass","Fail")</f>
        <v>Fail</v>
      </c>
    </row>
    <row r="7" spans="1:5" x14ac:dyDescent="0.25">
      <c r="A7" t="s">
        <v>44</v>
      </c>
      <c r="B7">
        <v>90</v>
      </c>
      <c r="D7" t="str">
        <f t="shared" si="0"/>
        <v>Paul Cruz</v>
      </c>
      <c r="E7" t="str">
        <f t="shared" si="1"/>
        <v>Pass</v>
      </c>
    </row>
    <row r="8" spans="1:5" x14ac:dyDescent="0.25">
      <c r="A8" t="s">
        <v>45</v>
      </c>
      <c r="B8">
        <v>68</v>
      </c>
      <c r="D8" t="str">
        <f t="shared" si="0"/>
        <v>Lisa Tan</v>
      </c>
      <c r="E8" t="str">
        <f t="shared" si="1"/>
        <v>Fail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selection activeCell="E14" sqref="E14"/>
    </sheetView>
  </sheetViews>
  <sheetFormatPr defaultRowHeight="15" x14ac:dyDescent="0.25"/>
  <cols>
    <col min="2" max="2" width="14.7109375" bestFit="1" customWidth="1"/>
    <col min="3" max="3" width="14.7109375" customWidth="1"/>
    <col min="4" max="4" width="17.7109375" bestFit="1" customWidth="1"/>
    <col min="5" max="5" width="10.5703125" bestFit="1" customWidth="1"/>
    <col min="6" max="6" width="10.140625" bestFit="1" customWidth="1"/>
  </cols>
  <sheetData>
    <row r="1" spans="1:4" x14ac:dyDescent="0.25">
      <c r="A1" t="s">
        <v>0</v>
      </c>
    </row>
    <row r="2" spans="1:4" x14ac:dyDescent="0.25">
      <c r="A2" t="s">
        <v>46</v>
      </c>
    </row>
    <row r="4" spans="1:4" x14ac:dyDescent="0.25">
      <c r="A4" t="s">
        <v>47</v>
      </c>
      <c r="B4" t="s">
        <v>73</v>
      </c>
      <c r="C4" t="s">
        <v>74</v>
      </c>
      <c r="D4" t="s">
        <v>48</v>
      </c>
    </row>
    <row r="5" spans="1:4" x14ac:dyDescent="0.25">
      <c r="A5">
        <v>1</v>
      </c>
      <c r="B5" t="s">
        <v>75</v>
      </c>
      <c r="C5" t="s">
        <v>76</v>
      </c>
      <c r="D5" t="s">
        <v>49</v>
      </c>
    </row>
    <row r="6" spans="1:4" x14ac:dyDescent="0.25">
      <c r="A6">
        <v>2</v>
      </c>
      <c r="B6" t="s">
        <v>77</v>
      </c>
      <c r="C6" t="s">
        <v>78</v>
      </c>
      <c r="D6" t="s">
        <v>50</v>
      </c>
    </row>
    <row r="7" spans="1:4" x14ac:dyDescent="0.25">
      <c r="A7">
        <v>3</v>
      </c>
      <c r="B7" t="s">
        <v>79</v>
      </c>
      <c r="C7" t="s">
        <v>80</v>
      </c>
      <c r="D7" t="s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>
      <selection activeCell="D8" sqref="D8"/>
    </sheetView>
  </sheetViews>
  <sheetFormatPr defaultRowHeight="15" x14ac:dyDescent="0.25"/>
  <cols>
    <col min="2" max="2" width="11" customWidth="1"/>
  </cols>
  <sheetData>
    <row r="1" spans="1:3" x14ac:dyDescent="0.25">
      <c r="A1" t="s">
        <v>0</v>
      </c>
    </row>
    <row r="2" spans="1:3" x14ac:dyDescent="0.25">
      <c r="A2" t="s">
        <v>52</v>
      </c>
    </row>
    <row r="4" spans="1:3" x14ac:dyDescent="0.25">
      <c r="A4" t="s">
        <v>53</v>
      </c>
      <c r="B4" t="s">
        <v>54</v>
      </c>
      <c r="C4" t="s">
        <v>4</v>
      </c>
    </row>
    <row r="5" spans="1:3" x14ac:dyDescent="0.25">
      <c r="A5" t="s">
        <v>55</v>
      </c>
      <c r="B5" t="s">
        <v>56</v>
      </c>
      <c r="C5">
        <v>45000</v>
      </c>
    </row>
    <row r="6" spans="1:3" x14ac:dyDescent="0.25">
      <c r="A6" t="s">
        <v>57</v>
      </c>
      <c r="B6" t="s">
        <v>58</v>
      </c>
      <c r="C6">
        <v>3000</v>
      </c>
    </row>
    <row r="7" spans="1:3" x14ac:dyDescent="0.25">
      <c r="A7" t="s">
        <v>59</v>
      </c>
      <c r="B7" t="s">
        <v>56</v>
      </c>
      <c r="C7">
        <v>22000</v>
      </c>
    </row>
    <row r="8" spans="1:3" x14ac:dyDescent="0.25">
      <c r="A8" t="s">
        <v>60</v>
      </c>
      <c r="B8" t="s">
        <v>58</v>
      </c>
      <c r="C8">
        <v>8000</v>
      </c>
    </row>
  </sheetData>
  <conditionalFormatting sqref="C5:C8">
    <cfRule type="cellIs" dxfId="0" priority="1" operator="greaterThan">
      <formula>10000</formula>
    </cfRule>
  </conditionalFormatting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workbookViewId="0">
      <selection activeCell="D38" sqref="D38"/>
    </sheetView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61</v>
      </c>
    </row>
    <row r="4" spans="1:3" x14ac:dyDescent="0.25">
      <c r="A4" t="s">
        <v>3</v>
      </c>
      <c r="B4" t="s">
        <v>62</v>
      </c>
      <c r="C4" t="s">
        <v>4</v>
      </c>
    </row>
    <row r="5" spans="1:3" x14ac:dyDescent="0.25">
      <c r="A5" t="s">
        <v>6</v>
      </c>
      <c r="B5" t="s">
        <v>55</v>
      </c>
      <c r="C5">
        <v>40000</v>
      </c>
    </row>
    <row r="6" spans="1:3" x14ac:dyDescent="0.25">
      <c r="A6" t="s">
        <v>6</v>
      </c>
      <c r="B6" t="s">
        <v>59</v>
      </c>
      <c r="C6">
        <v>20000</v>
      </c>
    </row>
    <row r="7" spans="1:3" x14ac:dyDescent="0.25">
      <c r="A7" t="s">
        <v>8</v>
      </c>
      <c r="B7" t="s">
        <v>55</v>
      </c>
      <c r="C7">
        <v>35000</v>
      </c>
    </row>
    <row r="8" spans="1:3" x14ac:dyDescent="0.25">
      <c r="A8" t="s">
        <v>8</v>
      </c>
      <c r="B8" t="s">
        <v>59</v>
      </c>
      <c r="C8">
        <v>18000</v>
      </c>
    </row>
    <row r="9" spans="1:3" x14ac:dyDescent="0.25">
      <c r="A9" t="s">
        <v>10</v>
      </c>
      <c r="B9" t="s">
        <v>55</v>
      </c>
      <c r="C9">
        <v>42000</v>
      </c>
    </row>
    <row r="10" spans="1:3" x14ac:dyDescent="0.25">
      <c r="A10" t="s">
        <v>12</v>
      </c>
      <c r="B10" t="s">
        <v>59</v>
      </c>
      <c r="C10">
        <v>16000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A167-FE97-49DC-BF13-68BD1211D0BB}">
  <dimension ref="A4:D10"/>
  <sheetViews>
    <sheetView workbookViewId="0">
      <selection activeCell="H17" sqref="H17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6.7109375" bestFit="1" customWidth="1"/>
    <col min="4" max="4" width="11.28515625" bestFit="1" customWidth="1"/>
    <col min="5" max="5" width="6" bestFit="1" customWidth="1"/>
    <col min="6" max="6" width="11.28515625" bestFit="1" customWidth="1"/>
  </cols>
  <sheetData>
    <row r="4" spans="1:4" x14ac:dyDescent="0.25">
      <c r="A4" s="1" t="s">
        <v>81</v>
      </c>
      <c r="B4" s="1" t="s">
        <v>82</v>
      </c>
    </row>
    <row r="5" spans="1:4" x14ac:dyDescent="0.25">
      <c r="A5" s="1" t="s">
        <v>84</v>
      </c>
      <c r="B5" t="s">
        <v>55</v>
      </c>
      <c r="C5" t="s">
        <v>59</v>
      </c>
      <c r="D5" t="s">
        <v>83</v>
      </c>
    </row>
    <row r="6" spans="1:4" x14ac:dyDescent="0.25">
      <c r="A6" s="3" t="s">
        <v>10</v>
      </c>
      <c r="B6" s="2">
        <v>42000</v>
      </c>
      <c r="C6" s="2"/>
      <c r="D6" s="2">
        <v>42000</v>
      </c>
    </row>
    <row r="7" spans="1:4" x14ac:dyDescent="0.25">
      <c r="A7" s="3" t="s">
        <v>6</v>
      </c>
      <c r="B7" s="2">
        <v>40000</v>
      </c>
      <c r="C7" s="2">
        <v>20000</v>
      </c>
      <c r="D7" s="2">
        <v>60000</v>
      </c>
    </row>
    <row r="8" spans="1:4" x14ac:dyDescent="0.25">
      <c r="A8" s="3" t="s">
        <v>8</v>
      </c>
      <c r="B8" s="2">
        <v>35000</v>
      </c>
      <c r="C8" s="2">
        <v>18000</v>
      </c>
      <c r="D8" s="2">
        <v>53000</v>
      </c>
    </row>
    <row r="9" spans="1:4" x14ac:dyDescent="0.25">
      <c r="A9" s="3" t="s">
        <v>12</v>
      </c>
      <c r="B9" s="2"/>
      <c r="C9" s="2">
        <v>16000</v>
      </c>
      <c r="D9" s="2">
        <v>16000</v>
      </c>
    </row>
    <row r="10" spans="1:4" x14ac:dyDescent="0.25">
      <c r="A10" s="3" t="s">
        <v>83</v>
      </c>
      <c r="B10" s="2">
        <v>117000</v>
      </c>
      <c r="C10" s="2">
        <v>54000</v>
      </c>
      <c r="D10" s="2">
        <v>171000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Aggregation</vt:lpstr>
      <vt:lpstr>Lookups</vt:lpstr>
      <vt:lpstr>IndexMatch</vt:lpstr>
      <vt:lpstr>IF_String</vt:lpstr>
      <vt:lpstr>Cleaning</vt:lpstr>
      <vt:lpstr>Filters_Format</vt:lpstr>
      <vt:lpstr>PivotSource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Remuel</cp:lastModifiedBy>
  <dcterms:created xsi:type="dcterms:W3CDTF">2026-01-30T13:33:31Z</dcterms:created>
  <dcterms:modified xsi:type="dcterms:W3CDTF">2026-01-31T07:03:27Z</dcterms:modified>
</cp:coreProperties>
</file>