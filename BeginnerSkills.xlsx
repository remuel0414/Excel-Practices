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uel\Desktop\Data Analyst Portfolio\"/>
    </mc:Choice>
  </mc:AlternateContent>
  <xr:revisionPtr revIDLastSave="0" documentId="13_ncr:1_{F280B210-200A-4F79-93A6-1A17073C8B64}" xr6:coauthVersionLast="47" xr6:coauthVersionMax="47" xr10:uidLastSave="{00000000-0000-0000-0000-000000000000}"/>
  <bookViews>
    <workbookView xWindow="0" yWindow="0" windowWidth="14400" windowHeight="15600" tabRatio="718" firstSheet="11" activeTab="12" xr2:uid="{0903EED0-007A-4C86-8B81-686F9012C0C1}"/>
  </bookViews>
  <sheets>
    <sheet name="Layout" sheetId="1" r:id="rId1"/>
    <sheet name="Excel Data Types" sheetId="2" r:id="rId2"/>
    <sheet name="Aggregation Functions" sheetId="3" r:id="rId3"/>
    <sheet name="LOOKUPS" sheetId="4" r:id="rId4"/>
    <sheet name="IF Functions" sheetId="5" r:id="rId5"/>
    <sheet name="String Functions" sheetId="6" r:id="rId6"/>
    <sheet name="Formatting" sheetId="7" r:id="rId7"/>
    <sheet name="Correctly Import CSV" sheetId="8" r:id="rId8"/>
    <sheet name="Removing Duplicates" sheetId="9" r:id="rId9"/>
    <sheet name="Text to Columns" sheetId="10" r:id="rId10"/>
    <sheet name="Filters" sheetId="11" r:id="rId11"/>
    <sheet name="Pivot Tables" sheetId="12" r:id="rId12"/>
    <sheet name="Goal Seek" sheetId="13" r:id="rId13"/>
  </sheets>
  <definedNames>
    <definedName name="_xlnm._FilterDatabase" localSheetId="10" hidden="1">Filters!$A$1:$C$13</definedName>
  </definedNames>
  <calcPr calcId="191029"/>
  <pivotCaches>
    <pivotCache cacheId="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3" l="1"/>
  <c r="B7" i="13"/>
  <c r="B4" i="13"/>
  <c r="D3" i="5"/>
  <c r="D2" i="5"/>
  <c r="D7" i="6"/>
  <c r="D6" i="6"/>
  <c r="B6" i="6"/>
  <c r="D4" i="6"/>
  <c r="D3" i="6"/>
  <c r="D2" i="6"/>
  <c r="D1" i="6"/>
  <c r="F2" i="5"/>
  <c r="H2" i="5"/>
  <c r="C2" i="5"/>
  <c r="D4" i="5"/>
  <c r="D5" i="5"/>
  <c r="D6" i="5"/>
  <c r="D7" i="5"/>
  <c r="D8" i="5"/>
  <c r="D9" i="5"/>
  <c r="D10" i="5"/>
  <c r="C3" i="5"/>
  <c r="C4" i="5"/>
  <c r="C5" i="5"/>
  <c r="C6" i="5"/>
  <c r="C7" i="5"/>
  <c r="C8" i="5"/>
  <c r="C9" i="5"/>
  <c r="C10" i="5"/>
  <c r="J30" i="4"/>
  <c r="J35" i="4"/>
  <c r="K30" i="4"/>
  <c r="C21" i="4"/>
  <c r="C22" i="4"/>
  <c r="C20" i="4"/>
  <c r="C13" i="4"/>
  <c r="C14" i="4"/>
  <c r="C12" i="4"/>
  <c r="C4" i="4"/>
  <c r="C5" i="4"/>
  <c r="C3" i="4"/>
  <c r="K2" i="3"/>
  <c r="J2" i="3"/>
  <c r="I2" i="3" a="1"/>
  <c r="I2" i="3" s="1"/>
  <c r="H2" i="3"/>
  <c r="F2" i="3"/>
  <c r="G2" i="3"/>
  <c r="E2" i="3"/>
  <c r="D2" i="3"/>
  <c r="C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<sst xmlns="http://schemas.openxmlformats.org/spreadsheetml/2006/main" count="240" uniqueCount="122">
  <si>
    <t>General</t>
  </si>
  <si>
    <t>Number</t>
  </si>
  <si>
    <t>Currency</t>
  </si>
  <si>
    <t>Date</t>
  </si>
  <si>
    <t>Time</t>
  </si>
  <si>
    <t>a</t>
  </si>
  <si>
    <t>asdas</t>
  </si>
  <si>
    <t>01231</t>
  </si>
  <si>
    <t>2021-01-01</t>
  </si>
  <si>
    <t>Text</t>
  </si>
  <si>
    <t>07123</t>
  </si>
  <si>
    <t>Special</t>
  </si>
  <si>
    <t>SUM</t>
  </si>
  <si>
    <t>AVERAGE</t>
  </si>
  <si>
    <t>COUNT</t>
  </si>
  <si>
    <t>MEDIAN</t>
  </si>
  <si>
    <t>MODE</t>
  </si>
  <si>
    <t>MODE.SNGL</t>
  </si>
  <si>
    <t>MODE.MULT</t>
  </si>
  <si>
    <t>MAX</t>
  </si>
  <si>
    <t>MIN</t>
  </si>
  <si>
    <t>VLOOKUPS</t>
  </si>
  <si>
    <t>Person</t>
  </si>
  <si>
    <t>Salary</t>
  </si>
  <si>
    <t>Job Title</t>
  </si>
  <si>
    <t>Person 1</t>
  </si>
  <si>
    <t>Person 2</t>
  </si>
  <si>
    <t>Person 3</t>
  </si>
  <si>
    <t>Person 4</t>
  </si>
  <si>
    <t>Person 5</t>
  </si>
  <si>
    <t>Data Analyst</t>
  </si>
  <si>
    <t>Data Scientist</t>
  </si>
  <si>
    <t>CEO</t>
  </si>
  <si>
    <t>CFO</t>
  </si>
  <si>
    <t>Manager</t>
  </si>
  <si>
    <t>HLOOKUPS</t>
  </si>
  <si>
    <t>XLOOKUP</t>
  </si>
  <si>
    <t>&lt;--Misaligned--&gt;</t>
  </si>
  <si>
    <t>INDEX + MATCH + MATCH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</si>
  <si>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</si>
  <si>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</si>
  <si>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</si>
  <si>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</si>
  <si>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</si>
  <si>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</si>
  <si>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</si>
  <si>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</si>
  <si>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</si>
  <si>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</si>
  <si>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</si>
  <si>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</si>
  <si>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</si>
  <si>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</si>
  <si>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</si>
  <si>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</si>
  <si>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</si>
  <si>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Match</t>
  </si>
  <si>
    <t xml:space="preserve">Index  </t>
  </si>
  <si>
    <t>Look for These -&gt;</t>
  </si>
  <si>
    <t>Index + Match</t>
  </si>
  <si>
    <t>Index + Match  + Match</t>
  </si>
  <si>
    <t>True IF &gt; 4</t>
  </si>
  <si>
    <t>SUMIF &gt; 4</t>
  </si>
  <si>
    <t>COUNTIF &gt; 4</t>
  </si>
  <si>
    <t>TRUE IF &gt;= 3 AND &lt;= 5</t>
  </si>
  <si>
    <t>Rene</t>
  </si>
  <si>
    <t>Lumbang</t>
  </si>
  <si>
    <t xml:space="preserve"> fwfw</t>
  </si>
  <si>
    <t xml:space="preserve">fwfw </t>
  </si>
  <si>
    <t>Department 1</t>
  </si>
  <si>
    <t>Department 2</t>
  </si>
  <si>
    <t>Department 3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</si>
  <si>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</si>
  <si>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</si>
  <si>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</si>
  <si>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</si>
  <si>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</si>
  <si>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</si>
  <si>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</si>
  <si>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</si>
  <si>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</si>
  <si>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</si>
  <si>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</si>
  <si>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Group 1</t>
  </si>
  <si>
    <t>Group 2</t>
  </si>
  <si>
    <t>A</t>
  </si>
  <si>
    <t>f</t>
  </si>
  <si>
    <t>af</t>
  </si>
  <si>
    <t>sa</t>
  </si>
  <si>
    <t>df</t>
  </si>
  <si>
    <t>asfsa</t>
  </si>
  <si>
    <t>asdsa</t>
  </si>
  <si>
    <t>asdf</t>
  </si>
  <si>
    <t>fasdad</t>
  </si>
  <si>
    <t>asd</t>
  </si>
  <si>
    <t>fsa</t>
  </si>
  <si>
    <t>fasfa</t>
  </si>
  <si>
    <t>b</t>
  </si>
  <si>
    <t>sd</t>
  </si>
  <si>
    <t>sdf</t>
  </si>
  <si>
    <t>wf</t>
  </si>
  <si>
    <t>we</t>
  </si>
  <si>
    <t>w</t>
  </si>
  <si>
    <t>r</t>
  </si>
  <si>
    <t>c</t>
  </si>
  <si>
    <t>d</t>
  </si>
  <si>
    <t>e</t>
  </si>
  <si>
    <t>g</t>
  </si>
  <si>
    <t>sf</t>
  </si>
  <si>
    <t>ds</t>
  </si>
  <si>
    <t>Sum of Column 2</t>
  </si>
  <si>
    <t>Column Labels</t>
  </si>
  <si>
    <t>Grand Total</t>
  </si>
  <si>
    <t>Row Labels</t>
  </si>
  <si>
    <t>Current Subs</t>
  </si>
  <si>
    <t>Weekly Sub Growth</t>
  </si>
  <si>
    <t>Daily Sub Growth</t>
  </si>
  <si>
    <t>Days</t>
  </si>
  <si>
    <t>Total Subs</t>
  </si>
  <si>
    <t>Days until 100000</t>
  </si>
  <si>
    <t>&lt;- By Changing</t>
  </si>
  <si>
    <t>&lt;- Set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</si>
</sst>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₱&quot;* #,##0.00_-;\-&quot;₱&quot;* #,##0.00_-;_-&quot;₱&quot;* &quot;-&quot;??_-;_-@_-"/>
    <numFmt numFmtId="164" formatCode="_-[$$-409]* #,##0.00_ ;_-[$$-409]* \-#,##0.00\ ;_-[$$-409]* &quot;-&quot;??_ ;_-@_ "/>
    <numFmt numFmtId="165" formatCode="yyyy\-mm\-dd;@"/>
    <numFmt numFmtId="166" formatCode="[$-F400]h:mm:ss\ AM/PM"/>
    <numFmt numFmtId="167" formatCode="00000"/>
    <numFmt numFmtId="168" formatCode="000\-00\-0000"/>
    <numFmt numFmtId="169" formatCode="_-[$$-409]* #,##0_ ;_-[$$-409]* \-#,##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9" fontId="0" fillId="0" borderId="0" xfId="2" applyFont="1"/>
    <xf numFmtId="12" fontId="0" fillId="0" borderId="0" xfId="2" applyNumberFormat="1" applyFont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9" fontId="0" fillId="0" borderId="0" xfId="0" applyNumberFormat="1"/>
    <xf numFmtId="169" fontId="0" fillId="0" borderId="7" xfId="1" applyNumberFormat="1" applyFont="1" applyBorder="1"/>
    <xf numFmtId="0" fontId="0" fillId="2" borderId="0" xfId="0" applyFill="1"/>
    <xf numFmtId="0" fontId="0" fillId="3" borderId="0" xfId="0" applyFill="1"/>
    <xf numFmtId="0" fontId="0" fillId="0" borderId="9" xfId="0" applyBorder="1"/>
    <xf numFmtId="0" fontId="0" fillId="4" borderId="0" xfId="0" applyFill="1" applyAlignment="1">
      <alignment horizontal="centerContinuous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uel" refreshedDate="45970.603893749998" createdVersion="8" refreshedVersion="8" minRefreshableVersion="3" recordCount="12" xr:uid="{64B905E2-02CD-4E5B-B248-B81305F21F05}">
  <cacheSource type="worksheet">
    <worksheetSource ref="A1:C13" sheet="Filters"/>
  </cacheSource>
  <cacheFields count="3">
    <cacheField name="Column 1" numFmtId="0">
      <sharedItems count="7">
        <s v="a"/>
        <s v="b"/>
        <s v="e"/>
        <s v="g"/>
        <s v="sf"/>
        <s v="ds"/>
        <s v="f"/>
      </sharedItems>
    </cacheField>
    <cacheField name="Column 2" numFmtId="0">
      <sharedItems containsSemiMixedTypes="0" containsString="0" containsNumber="1" minValue="4.17002E-2" maxValue="0.98986960000000002"/>
    </cacheField>
    <cacheField name="Column 3" numFmtId="0">
      <sharedItems count="2">
        <s v="Group 1"/>
        <s v="Group 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0.81027800000000005"/>
    <x v="0"/>
  </r>
  <r>
    <x v="1"/>
    <n v="0.56097799999999998"/>
    <x v="1"/>
  </r>
  <r>
    <x v="1"/>
    <n v="4.17002E-2"/>
    <x v="0"/>
  </r>
  <r>
    <x v="1"/>
    <n v="0.98986960000000002"/>
    <x v="1"/>
  </r>
  <r>
    <x v="1"/>
    <n v="0.28848099999999999"/>
    <x v="0"/>
  </r>
  <r>
    <x v="0"/>
    <n v="0.68350900000000003"/>
    <x v="1"/>
  </r>
  <r>
    <x v="2"/>
    <n v="0.33240900000000001"/>
    <x v="0"/>
  </r>
  <r>
    <x v="3"/>
    <n v="0.42905599999999999"/>
    <x v="1"/>
  </r>
  <r>
    <x v="3"/>
    <n v="0.29420600000000002"/>
    <x v="0"/>
  </r>
  <r>
    <x v="4"/>
    <n v="0.30904199999999998"/>
    <x v="1"/>
  </r>
  <r>
    <x v="5"/>
    <n v="0.21340999999999999"/>
    <x v="0"/>
  </r>
  <r>
    <x v="6"/>
    <n v="0.125151509999999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2B9A7-812B-4C5C-954E-E1C616A3D88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3">
    <pivotField axis="axisRow" showAll="0">
      <items count="8">
        <item x="0"/>
        <item x="1"/>
        <item x="5"/>
        <item x="2"/>
        <item x="6"/>
        <item x="3"/>
        <item x="4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lumn 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D1DB-E636-49F1-935E-7C2257D181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E282-D3BE-41CC-934D-D4BEA460E79C}">
  <dimension ref="A1:G9"/>
  <sheetViews>
    <sheetView zoomScale="160" zoomScaleNormal="160" workbookViewId="0">
      <selection activeCell="G4" sqref="G4"/>
    </sheetView>
  </sheetViews>
  <sheetFormatPr defaultRowHeight="15" x14ac:dyDescent="0.25"/>
  <cols>
    <col min="1" max="1" width="9.85546875" bestFit="1" customWidth="1"/>
    <col min="4" max="4" width="10.140625" bestFit="1" customWidth="1"/>
    <col min="5" max="5" width="11" bestFit="1" customWidth="1"/>
    <col min="7" max="7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11</v>
      </c>
    </row>
    <row r="2" spans="1:7" x14ac:dyDescent="0.25">
      <c r="A2">
        <v>4</v>
      </c>
      <c r="B2" s="3">
        <v>4</v>
      </c>
      <c r="C2" s="6">
        <v>4</v>
      </c>
      <c r="D2" s="7">
        <v>44197</v>
      </c>
      <c r="E2" s="8">
        <v>4.1666666666666664E-2</v>
      </c>
      <c r="F2" s="9" t="s">
        <v>10</v>
      </c>
      <c r="G2" s="10">
        <v>1414</v>
      </c>
    </row>
    <row r="3" spans="1:7" x14ac:dyDescent="0.25">
      <c r="A3" t="s">
        <v>5</v>
      </c>
      <c r="B3" s="4">
        <v>0.34</v>
      </c>
      <c r="C3" s="6">
        <v>52</v>
      </c>
      <c r="D3" s="7">
        <v>44198</v>
      </c>
      <c r="E3" s="8">
        <v>0.50001157407407404</v>
      </c>
      <c r="G3" s="11">
        <v>1001001</v>
      </c>
    </row>
    <row r="4" spans="1:7" x14ac:dyDescent="0.25">
      <c r="A4" t="s">
        <v>6</v>
      </c>
      <c r="B4" s="3">
        <v>13</v>
      </c>
      <c r="C4" s="6">
        <v>34</v>
      </c>
      <c r="D4" s="7">
        <v>44199</v>
      </c>
      <c r="E4" s="8">
        <v>1.1574074074074073E-5</v>
      </c>
    </row>
    <row r="5" spans="1:7" x14ac:dyDescent="0.25">
      <c r="A5" s="1">
        <v>44197</v>
      </c>
      <c r="B5" s="5">
        <v>0.5</v>
      </c>
      <c r="C5" s="6">
        <v>53</v>
      </c>
      <c r="D5" s="7">
        <v>44200</v>
      </c>
    </row>
    <row r="6" spans="1:7" x14ac:dyDescent="0.25">
      <c r="A6">
        <v>1231</v>
      </c>
      <c r="B6" s="3"/>
      <c r="C6" s="6">
        <v>453</v>
      </c>
      <c r="D6" s="7">
        <v>44201</v>
      </c>
    </row>
    <row r="7" spans="1:7" x14ac:dyDescent="0.25">
      <c r="A7" s="2" t="s">
        <v>7</v>
      </c>
      <c r="B7" s="3"/>
      <c r="C7" s="6">
        <v>4</v>
      </c>
      <c r="D7" s="7">
        <v>44202</v>
      </c>
    </row>
    <row r="8" spans="1:7" x14ac:dyDescent="0.25">
      <c r="A8" s="2" t="s">
        <v>8</v>
      </c>
      <c r="B8" s="3"/>
      <c r="C8" s="6">
        <v>2</v>
      </c>
      <c r="D8" s="7">
        <v>44203</v>
      </c>
    </row>
    <row r="9" spans="1:7" x14ac:dyDescent="0.25">
      <c r="C9" s="6">
        <v>-131</v>
      </c>
      <c r="D9" s="7">
        <v>44204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94E1-9AC7-4AB4-984D-022A673B1524}">
  <dimension ref="A1:K17"/>
  <sheetViews>
    <sheetView zoomScaleNormal="100" workbookViewId="0">
      <selection activeCell="K3" sqref="K3"/>
    </sheetView>
  </sheetViews>
  <sheetFormatPr defaultRowHeight="15" x14ac:dyDescent="0.25"/>
  <cols>
    <col min="8" max="8" width="11.7109375" bestFit="1" customWidth="1"/>
    <col min="9" max="9" width="11.5703125" bestFit="1" customWidth="1"/>
  </cols>
  <sheetData>
    <row r="1" spans="1:11" x14ac:dyDescent="0.25">
      <c r="A1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>
        <v>1</v>
      </c>
      <c r="C2">
        <f>SUM(A1:A17)</f>
        <v>1630</v>
      </c>
      <c r="D2">
        <f>AVERAGE(A1:A17)</f>
        <v>95.882352941176464</v>
      </c>
      <c r="E2">
        <f>COUNT(A1:A17)</f>
        <v>17</v>
      </c>
      <c r="F2">
        <f>MEDIAN(A1:A17)</f>
        <v>2</v>
      </c>
      <c r="G2">
        <f>MODE(A1:A17)</f>
        <v>1</v>
      </c>
      <c r="H2">
        <f>_xlfn.MODE.SNGL(A1:A17)</f>
        <v>1</v>
      </c>
      <c r="I2" cm="1">
        <f t="array" ref="I2:I3">_xlfn.MODE.MULT(A1:A17)</f>
        <v>1</v>
      </c>
      <c r="J2">
        <f>MAX(A1:A17)</f>
        <v>756</v>
      </c>
      <c r="K2">
        <f>MIN(A1:A17)</f>
        <v>1</v>
      </c>
    </row>
    <row r="3" spans="1:11" x14ac:dyDescent="0.25">
      <c r="A3">
        <v>1</v>
      </c>
      <c r="I3">
        <v>2</v>
      </c>
    </row>
    <row r="4" spans="1:11" x14ac:dyDescent="0.25">
      <c r="A4">
        <v>1</v>
      </c>
    </row>
    <row r="5" spans="1:11" x14ac:dyDescent="0.25">
      <c r="A5">
        <v>1</v>
      </c>
    </row>
    <row r="6" spans="1:11" x14ac:dyDescent="0.25">
      <c r="A6">
        <v>2</v>
      </c>
    </row>
    <row r="7" spans="1:11" x14ac:dyDescent="0.25">
      <c r="A7">
        <v>2</v>
      </c>
    </row>
    <row r="8" spans="1:11" x14ac:dyDescent="0.25">
      <c r="A8">
        <v>2</v>
      </c>
    </row>
    <row r="9" spans="1:11" x14ac:dyDescent="0.25">
      <c r="A9">
        <v>2</v>
      </c>
    </row>
    <row r="10" spans="1:11" x14ac:dyDescent="0.25">
      <c r="A10">
        <v>2</v>
      </c>
    </row>
    <row r="11" spans="1:11" x14ac:dyDescent="0.25">
      <c r="A11">
        <v>654</v>
      </c>
    </row>
    <row r="12" spans="1:11" x14ac:dyDescent="0.25">
      <c r="A12">
        <v>7</v>
      </c>
    </row>
    <row r="13" spans="1:11" x14ac:dyDescent="0.25">
      <c r="A13">
        <v>57</v>
      </c>
    </row>
    <row r="14" spans="1:11" x14ac:dyDescent="0.25">
      <c r="A14">
        <v>65</v>
      </c>
    </row>
    <row r="15" spans="1:11" x14ac:dyDescent="0.25">
      <c r="A15">
        <v>756</v>
      </c>
    </row>
    <row r="16" spans="1:11" x14ac:dyDescent="0.25">
      <c r="A16">
        <v>8</v>
      </c>
    </row>
    <row r="17" spans="1:1" x14ac:dyDescent="0.25">
      <c r="A17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0DBD-74A1-42C2-A265-62FDA3399B34}">
  <dimension ref="A1:O38"/>
  <sheetViews>
    <sheetView zoomScale="70" zoomScaleNormal="70" workbookViewId="0">
      <selection activeCell="K26" sqref="K26"/>
    </sheetView>
  </sheetViews>
  <sheetFormatPr defaultRowHeight="15" x14ac:dyDescent="0.25"/>
  <cols>
    <col min="2" max="2" width="15.5703125" bestFit="1" customWidth="1"/>
    <col min="3" max="3" width="11.140625" bestFit="1" customWidth="1"/>
    <col min="6" max="6" width="12.28515625" bestFit="1" customWidth="1"/>
    <col min="7" max="7" width="14.28515625" bestFit="1" customWidth="1"/>
    <col min="9" max="9" width="12.28515625" bestFit="1" customWidth="1"/>
    <col min="10" max="10" width="11.85546875" bestFit="1" customWidth="1"/>
    <col min="13" max="13" width="15.85546875" bestFit="1" customWidth="1"/>
  </cols>
  <sheetData>
    <row r="1" spans="1:10" x14ac:dyDescent="0.25">
      <c r="A1" s="27" t="s">
        <v>21</v>
      </c>
      <c r="B1" s="28"/>
      <c r="C1" s="28"/>
      <c r="D1" s="28"/>
      <c r="E1" s="28"/>
      <c r="F1" s="29"/>
    </row>
    <row r="2" spans="1:10" x14ac:dyDescent="0.25">
      <c r="A2" s="13" t="s">
        <v>22</v>
      </c>
      <c r="B2" t="s">
        <v>23</v>
      </c>
      <c r="C2" t="s">
        <v>24</v>
      </c>
      <c r="E2" t="s">
        <v>22</v>
      </c>
      <c r="F2" s="14" t="s">
        <v>24</v>
      </c>
    </row>
    <row r="3" spans="1:10" x14ac:dyDescent="0.25">
      <c r="A3" s="13" t="s">
        <v>25</v>
      </c>
      <c r="B3" s="12">
        <v>106000</v>
      </c>
      <c r="C3" t="str">
        <f>VLOOKUP(A3,$E$2:$F$7,2,FALSE)</f>
        <v>Data Analyst</v>
      </c>
      <c r="E3" t="s">
        <v>25</v>
      </c>
      <c r="F3" s="14" t="s">
        <v>30</v>
      </c>
    </row>
    <row r="4" spans="1:10" x14ac:dyDescent="0.25">
      <c r="A4" s="13" t="s">
        <v>26</v>
      </c>
      <c r="B4" s="12">
        <v>150000</v>
      </c>
      <c r="C4" t="str">
        <f>VLOOKUP(A4,$E$2:$F$7,2,FALSE)</f>
        <v>Data Scientist</v>
      </c>
      <c r="E4" t="s">
        <v>26</v>
      </c>
      <c r="F4" s="14" t="s">
        <v>31</v>
      </c>
    </row>
    <row r="5" spans="1:10" x14ac:dyDescent="0.25">
      <c r="A5" s="13" t="s">
        <v>27</v>
      </c>
      <c r="B5" s="12">
        <v>1000000</v>
      </c>
      <c r="C5" t="str">
        <f t="shared" ref="C5" si="0">VLOOKUP(A5,$E$2:$F$7,2,FALSE)</f>
        <v>CEO</v>
      </c>
      <c r="E5" t="s">
        <v>27</v>
      </c>
      <c r="F5" s="14" t="s">
        <v>32</v>
      </c>
    </row>
    <row r="6" spans="1:10" x14ac:dyDescent="0.25">
      <c r="A6" s="13"/>
      <c r="E6" t="s">
        <v>28</v>
      </c>
      <c r="F6" s="14" t="s">
        <v>33</v>
      </c>
    </row>
    <row r="7" spans="1:10" x14ac:dyDescent="0.25">
      <c r="A7" s="15"/>
      <c r="B7" s="16"/>
      <c r="C7" s="16"/>
      <c r="D7" s="16"/>
      <c r="E7" s="16" t="s">
        <v>29</v>
      </c>
      <c r="F7" s="17" t="s">
        <v>34</v>
      </c>
    </row>
    <row r="10" spans="1:10" x14ac:dyDescent="0.25">
      <c r="A10" s="27" t="s">
        <v>35</v>
      </c>
      <c r="B10" s="28"/>
      <c r="C10" s="28"/>
      <c r="D10" s="28"/>
      <c r="E10" s="28"/>
      <c r="F10" s="28"/>
      <c r="G10" s="28"/>
      <c r="H10" s="28"/>
      <c r="I10" s="28"/>
      <c r="J10" s="29"/>
    </row>
    <row r="11" spans="1:10" x14ac:dyDescent="0.25">
      <c r="A11" s="13" t="s">
        <v>22</v>
      </c>
      <c r="B11" t="s">
        <v>23</v>
      </c>
      <c r="C11" t="s">
        <v>24</v>
      </c>
      <c r="E11" t="s">
        <v>22</v>
      </c>
      <c r="F11" t="s">
        <v>25</v>
      </c>
      <c r="G11" t="s">
        <v>26</v>
      </c>
      <c r="H11" t="s">
        <v>27</v>
      </c>
      <c r="I11" t="s">
        <v>28</v>
      </c>
      <c r="J11" s="14" t="s">
        <v>29</v>
      </c>
    </row>
    <row r="12" spans="1:10" x14ac:dyDescent="0.25">
      <c r="A12" s="13" t="s">
        <v>25</v>
      </c>
      <c r="B12" s="12">
        <v>106000</v>
      </c>
      <c r="C12" t="str">
        <f>HLOOKUP(A12,$E$11:$J$12,2,FALSE)</f>
        <v>Data Analyst</v>
      </c>
      <c r="E12" t="s">
        <v>24</v>
      </c>
      <c r="F12" t="s">
        <v>30</v>
      </c>
      <c r="G12" t="s">
        <v>31</v>
      </c>
      <c r="H12" t="s">
        <v>32</v>
      </c>
      <c r="I12" t="s">
        <v>33</v>
      </c>
      <c r="J12" s="14" t="s">
        <v>34</v>
      </c>
    </row>
    <row r="13" spans="1:10" x14ac:dyDescent="0.25">
      <c r="A13" s="13" t="s">
        <v>26</v>
      </c>
      <c r="B13" s="12">
        <v>150000</v>
      </c>
      <c r="C13" t="str">
        <f>HLOOKUP(A13,$E$11:$J$12,2,FALSE)</f>
        <v>Data Scientist</v>
      </c>
      <c r="J13" s="14"/>
    </row>
    <row r="14" spans="1:10" x14ac:dyDescent="0.25">
      <c r="A14" s="15" t="s">
        <v>27</v>
      </c>
      <c r="B14" s="22">
        <v>1000000</v>
      </c>
      <c r="C14" s="16" t="str">
        <f t="shared" ref="C14" si="1">HLOOKUP(A14,$E$11:$J$12,2,FALSE)</f>
        <v>CEO</v>
      </c>
      <c r="D14" s="16"/>
      <c r="E14" s="16"/>
      <c r="F14" s="16"/>
      <c r="G14" s="16"/>
      <c r="H14" s="16"/>
      <c r="I14" s="16"/>
      <c r="J14" s="17"/>
    </row>
    <row r="17" spans="1:15" x14ac:dyDescent="0.25">
      <c r="A17" s="18"/>
      <c r="B17" s="19"/>
      <c r="C17" s="19"/>
      <c r="D17" s="19"/>
      <c r="E17" s="19" t="s">
        <v>36</v>
      </c>
      <c r="F17" s="19"/>
      <c r="G17" s="19"/>
      <c r="H17" s="19"/>
      <c r="I17" s="20" t="s">
        <v>24</v>
      </c>
    </row>
    <row r="18" spans="1:15" x14ac:dyDescent="0.25">
      <c r="A18" s="13"/>
      <c r="I18" s="14" t="s">
        <v>30</v>
      </c>
    </row>
    <row r="19" spans="1:15" x14ac:dyDescent="0.25">
      <c r="A19" s="13" t="s">
        <v>22</v>
      </c>
      <c r="B19" t="s">
        <v>23</v>
      </c>
      <c r="C19" t="s">
        <v>24</v>
      </c>
      <c r="E19" t="s">
        <v>22</v>
      </c>
      <c r="I19" s="14" t="s">
        <v>31</v>
      </c>
    </row>
    <row r="20" spans="1:15" x14ac:dyDescent="0.25">
      <c r="A20" s="13" t="s">
        <v>25</v>
      </c>
      <c r="B20" s="21">
        <v>106000</v>
      </c>
      <c r="C20" t="str">
        <f>_xlfn.XLOOKUP(A20,$E$19:$E$24,$I$17:$I$22,"None",0)</f>
        <v>Data Analyst</v>
      </c>
      <c r="E20" t="s">
        <v>25</v>
      </c>
      <c r="I20" s="14" t="s">
        <v>32</v>
      </c>
    </row>
    <row r="21" spans="1:15" x14ac:dyDescent="0.25">
      <c r="A21" s="13" t="s">
        <v>26</v>
      </c>
      <c r="B21" s="21">
        <v>150000</v>
      </c>
      <c r="C21" t="str">
        <f t="shared" ref="C21:C22" si="2">_xlfn.XLOOKUP(A21,$E$19:$E$24,$I$17:$I$22,"None",0)</f>
        <v>Data Scientist</v>
      </c>
      <c r="E21" t="s">
        <v>26</v>
      </c>
      <c r="G21" t="s">
        <v>37</v>
      </c>
      <c r="I21" s="14" t="s">
        <v>33</v>
      </c>
    </row>
    <row r="22" spans="1:15" x14ac:dyDescent="0.25">
      <c r="A22" s="13" t="s">
        <v>27</v>
      </c>
      <c r="B22" s="21">
        <v>1000000</v>
      </c>
      <c r="C22" t="str">
        <f t="shared" si="2"/>
        <v>CEO</v>
      </c>
      <c r="E22" t="s">
        <v>27</v>
      </c>
      <c r="I22" s="14" t="s">
        <v>34</v>
      </c>
    </row>
    <row r="23" spans="1:15" x14ac:dyDescent="0.25">
      <c r="A23" s="13"/>
      <c r="E23" t="s">
        <v>28</v>
      </c>
      <c r="I23" s="14"/>
    </row>
    <row r="24" spans="1:15" x14ac:dyDescent="0.25">
      <c r="A24" s="15"/>
      <c r="B24" s="16"/>
      <c r="C24" s="16"/>
      <c r="D24" s="16"/>
      <c r="E24" s="16" t="s">
        <v>29</v>
      </c>
      <c r="F24" s="16"/>
      <c r="G24" s="16"/>
      <c r="H24" s="16"/>
      <c r="I24" s="17"/>
    </row>
    <row r="27" spans="1:15" x14ac:dyDescent="0.25">
      <c r="A27" s="18"/>
      <c r="B27" s="19"/>
      <c r="C27" s="19"/>
      <c r="D27" s="19" t="s">
        <v>38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</row>
    <row r="28" spans="1:15" x14ac:dyDescent="0.25">
      <c r="A28" s="13"/>
      <c r="O28" s="14"/>
    </row>
    <row r="29" spans="1:15" x14ac:dyDescent="0.25">
      <c r="A29" s="13"/>
      <c r="B29" t="s">
        <v>48</v>
      </c>
      <c r="C29" t="s">
        <v>49</v>
      </c>
      <c r="D29" t="s">
        <v>50</v>
      </c>
      <c r="E29" t="s">
        <v>51</v>
      </c>
      <c r="F29" t="s">
        <v>52</v>
      </c>
      <c r="G29" t="s">
        <v>53</v>
      </c>
      <c r="H29" t="s">
        <v>54</v>
      </c>
      <c r="I29" t="s">
        <v>55</v>
      </c>
      <c r="J29" t="s">
        <v>57</v>
      </c>
      <c r="K29" t="s">
        <v>56</v>
      </c>
      <c r="M29" t="s">
        <v>58</v>
      </c>
      <c r="N29" t="s">
        <v>48</v>
      </c>
      <c r="O29" s="14" t="s">
        <v>44</v>
      </c>
    </row>
    <row r="30" spans="1:15" x14ac:dyDescent="0.25">
      <c r="A30" s="13" t="s">
        <v>39</v>
      </c>
      <c r="B30">
        <v>6.2326126260000003E-2</v>
      </c>
      <c r="C30">
        <v>5.1352152999999998E-2</v>
      </c>
      <c r="D30">
        <v>0.1231313</v>
      </c>
      <c r="E30">
        <v>0.75675700000000001</v>
      </c>
      <c r="F30">
        <v>0.99879870000000004</v>
      </c>
      <c r="G30">
        <v>0.34343400000000002</v>
      </c>
      <c r="H30">
        <v>0.64563999999999999</v>
      </c>
      <c r="I30">
        <v>0.44444</v>
      </c>
      <c r="J30">
        <f>INDEX(B30:I37,5,6)</f>
        <v>0.34343400000000002</v>
      </c>
      <c r="K30">
        <f>MATCH(N29,B29:I29,0)</f>
        <v>1</v>
      </c>
      <c r="O30" s="14"/>
    </row>
    <row r="31" spans="1:15" x14ac:dyDescent="0.25">
      <c r="A31" s="13" t="s">
        <v>40</v>
      </c>
      <c r="B31">
        <v>6.2326126260000003E-2</v>
      </c>
      <c r="C31">
        <v>5.1352152999999998E-2</v>
      </c>
      <c r="D31">
        <v>0.1231313</v>
      </c>
      <c r="E31">
        <v>0.75675700000000001</v>
      </c>
      <c r="F31">
        <v>0.99879870000000004</v>
      </c>
      <c r="G31">
        <v>0.34343400000000002</v>
      </c>
      <c r="H31">
        <v>0.64563999999999999</v>
      </c>
      <c r="I31">
        <v>0.44444</v>
      </c>
      <c r="O31" s="14"/>
    </row>
    <row r="32" spans="1:15" x14ac:dyDescent="0.25">
      <c r="A32" s="13" t="s">
        <v>41</v>
      </c>
      <c r="B32">
        <v>6.2326126260000003E-2</v>
      </c>
      <c r="C32">
        <v>5.1352152999999998E-2</v>
      </c>
      <c r="D32">
        <v>0.1231313</v>
      </c>
      <c r="E32">
        <v>0.75675700000000001</v>
      </c>
      <c r="F32">
        <v>0.99879870000000004</v>
      </c>
      <c r="G32">
        <v>0.34343400000000002</v>
      </c>
      <c r="H32">
        <v>0.64563999999999999</v>
      </c>
      <c r="I32">
        <v>0.44444</v>
      </c>
      <c r="J32" s="30" t="s">
        <v>59</v>
      </c>
      <c r="K32" s="30"/>
      <c r="O32" s="14"/>
    </row>
    <row r="33" spans="1:15" x14ac:dyDescent="0.25">
      <c r="A33" s="13" t="s">
        <v>42</v>
      </c>
      <c r="B33">
        <v>0.3</v>
      </c>
      <c r="C33">
        <v>5.1352152999999998E-2</v>
      </c>
      <c r="D33">
        <v>0.1231313</v>
      </c>
      <c r="E33">
        <v>0.75675700000000001</v>
      </c>
      <c r="F33">
        <v>0.99879870000000004</v>
      </c>
      <c r="G33">
        <v>0.34343400000000002</v>
      </c>
      <c r="H33">
        <v>0.64563999999999999</v>
      </c>
      <c r="I33">
        <v>0.44444</v>
      </c>
      <c r="O33" s="14"/>
    </row>
    <row r="34" spans="1:15" x14ac:dyDescent="0.25">
      <c r="A34" s="13" t="s">
        <v>43</v>
      </c>
      <c r="B34">
        <v>6.2326126260000003E-2</v>
      </c>
      <c r="C34">
        <v>5.1352152999999998E-2</v>
      </c>
      <c r="D34">
        <v>0.1231313</v>
      </c>
      <c r="E34">
        <v>0.75675700000000001</v>
      </c>
      <c r="F34">
        <v>0.99879870000000004</v>
      </c>
      <c r="G34">
        <v>0.34343400000000002</v>
      </c>
      <c r="H34">
        <v>0.64563999999999999</v>
      </c>
      <c r="I34">
        <v>0.44444</v>
      </c>
      <c r="J34" t="s">
        <v>60</v>
      </c>
      <c r="O34" s="14"/>
    </row>
    <row r="35" spans="1:15" x14ac:dyDescent="0.25">
      <c r="A35" s="13" t="s">
        <v>44</v>
      </c>
      <c r="B35">
        <v>0.69</v>
      </c>
      <c r="C35">
        <v>5.1352152999999998E-2</v>
      </c>
      <c r="D35">
        <v>0.1231313</v>
      </c>
      <c r="E35">
        <v>0.75675700000000001</v>
      </c>
      <c r="F35">
        <v>0.99879870000000004</v>
      </c>
      <c r="G35">
        <v>0.34343400000000002</v>
      </c>
      <c r="H35">
        <v>0.64563999999999999</v>
      </c>
      <c r="I35">
        <v>0.44444</v>
      </c>
      <c r="J35">
        <f>INDEX(B30:I37,MATCH(O29,A30:A38,0),MATCH(N29,B29:I29,0))</f>
        <v>0.69</v>
      </c>
      <c r="O35" s="14"/>
    </row>
    <row r="36" spans="1:15" x14ac:dyDescent="0.25">
      <c r="A36" s="13" t="s">
        <v>45</v>
      </c>
      <c r="B36">
        <v>6.2326126260000003E-2</v>
      </c>
      <c r="C36">
        <v>5.1352152999999998E-2</v>
      </c>
      <c r="D36">
        <v>0.1231313</v>
      </c>
      <c r="E36">
        <v>0.75675700000000001</v>
      </c>
      <c r="F36">
        <v>0.99879870000000004</v>
      </c>
      <c r="G36">
        <v>0.34343400000000002</v>
      </c>
      <c r="H36">
        <v>0.64563999999999999</v>
      </c>
      <c r="I36">
        <v>0.44444</v>
      </c>
      <c r="O36" s="14"/>
    </row>
    <row r="37" spans="1:15" x14ac:dyDescent="0.25">
      <c r="A37" s="13" t="s">
        <v>46</v>
      </c>
      <c r="B37">
        <v>6.2326126260000003E-2</v>
      </c>
      <c r="C37">
        <v>5.1352152999999998E-2</v>
      </c>
      <c r="D37">
        <v>0.1231313</v>
      </c>
      <c r="E37">
        <v>0.75675700000000001</v>
      </c>
      <c r="F37">
        <v>0.99879870000000004</v>
      </c>
      <c r="G37">
        <v>0.34343400000000002</v>
      </c>
      <c r="H37">
        <v>0.64563999999999999</v>
      </c>
      <c r="I37">
        <v>0.44444</v>
      </c>
      <c r="O37" s="14"/>
    </row>
    <row r="38" spans="1:15" x14ac:dyDescent="0.25">
      <c r="A38" s="15" t="s">
        <v>47</v>
      </c>
      <c r="B38" s="16">
        <v>6.2326126260000003E-2</v>
      </c>
      <c r="C38" s="16">
        <v>5.1352152999999998E-2</v>
      </c>
      <c r="D38" s="16">
        <v>0.1231313</v>
      </c>
      <c r="E38" s="16">
        <v>0.75675700000000001</v>
      </c>
      <c r="F38" s="16">
        <v>0.99879870000000004</v>
      </c>
      <c r="G38" s="16">
        <v>0.34343400000000002</v>
      </c>
      <c r="H38" s="16">
        <v>0.64563999999999999</v>
      </c>
      <c r="I38" s="16">
        <v>0.44444</v>
      </c>
      <c r="J38" s="16"/>
      <c r="K38" s="16"/>
      <c r="L38" s="16"/>
      <c r="M38" s="16"/>
      <c r="N38" s="16"/>
      <c r="O38" s="17"/>
    </row>
  </sheetData>
  <mergeCells count="3">
    <mergeCell ref="A1:F1"/>
    <mergeCell ref="A10:J10"/>
    <mergeCell ref="J32:K3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82FF-5517-413D-A85C-5FC09C71017B}">
  <dimension ref="A1:H10"/>
  <sheetViews>
    <sheetView zoomScale="130" zoomScaleNormal="130" workbookViewId="0">
      <selection activeCell="G20" sqref="G20"/>
    </sheetView>
  </sheetViews>
  <sheetFormatPr defaultRowHeight="15" x14ac:dyDescent="0.25"/>
  <cols>
    <col min="4" max="4" width="20.28515625" bestFit="1" customWidth="1"/>
    <col min="8" max="8" width="11.7109375" bestFit="1" customWidth="1"/>
  </cols>
  <sheetData>
    <row r="1" spans="1:8" x14ac:dyDescent="0.25">
      <c r="A1" t="s">
        <v>48</v>
      </c>
      <c r="C1" t="s">
        <v>61</v>
      </c>
      <c r="D1" t="s">
        <v>64</v>
      </c>
      <c r="F1" t="s">
        <v>62</v>
      </c>
      <c r="H1" t="s">
        <v>63</v>
      </c>
    </row>
    <row r="2" spans="1:8" x14ac:dyDescent="0.25">
      <c r="A2">
        <v>1</v>
      </c>
      <c r="C2" t="str">
        <f>IF(A2&gt;=4,"&gt;4","&lt;=4")</f>
        <v>&lt;=4</v>
      </c>
      <c r="D2" t="str">
        <f>IF(AND(A2&gt;=3,A2&lt;=5),"&gt;=3 AND &lt;=5","None")</f>
        <v>None</v>
      </c>
      <c r="F2">
        <f>SUMIF(A2:A10,"&gt;4")</f>
        <v>34</v>
      </c>
      <c r="H2">
        <f>COUNTIF(A2:A10,"&gt;4")</f>
        <v>5</v>
      </c>
    </row>
    <row r="3" spans="1:8" x14ac:dyDescent="0.25">
      <c r="A3">
        <v>2</v>
      </c>
      <c r="C3" t="str">
        <f t="shared" ref="C3:C10" si="0">IF(A3&gt;=4,"&gt;4","&lt;=4")</f>
        <v>&lt;=4</v>
      </c>
      <c r="D3" t="str">
        <f>IF(AND(A3&gt;=3,A3&lt;=5),"&gt;=3 AND &lt;=5","None")</f>
        <v>None</v>
      </c>
    </row>
    <row r="4" spans="1:8" x14ac:dyDescent="0.25">
      <c r="A4">
        <v>3</v>
      </c>
      <c r="C4" t="str">
        <f t="shared" si="0"/>
        <v>&lt;=4</v>
      </c>
      <c r="D4" t="str">
        <f>IF(OR(A4&gt;=3,A4&lt;=5),"&gt;=3 AND &lt;=5","None")</f>
        <v>&gt;=3 AND &lt;=5</v>
      </c>
    </row>
    <row r="5" spans="1:8" x14ac:dyDescent="0.25">
      <c r="A5">
        <v>4</v>
      </c>
      <c r="C5" t="str">
        <f t="shared" si="0"/>
        <v>&gt;4</v>
      </c>
      <c r="D5" t="str">
        <f>IF(OR(A5&gt;=3,A5&lt;=5),"&gt;=3 AND &lt;=5","None")</f>
        <v>&gt;=3 AND &lt;=5</v>
      </c>
    </row>
    <row r="6" spans="1:8" x14ac:dyDescent="0.25">
      <c r="A6">
        <v>5</v>
      </c>
      <c r="C6" t="str">
        <f t="shared" si="0"/>
        <v>&gt;4</v>
      </c>
      <c r="D6" t="str">
        <f t="shared" ref="D6:D10" si="1">IF(OR(A6&gt;=3,A6&lt;=5),"&gt;=3 AND &lt;=5","None")</f>
        <v>&gt;=3 AND &lt;=5</v>
      </c>
    </row>
    <row r="7" spans="1:8" x14ac:dyDescent="0.25">
      <c r="A7">
        <v>5</v>
      </c>
      <c r="C7" t="str">
        <f t="shared" si="0"/>
        <v>&gt;4</v>
      </c>
      <c r="D7" t="str">
        <f t="shared" si="1"/>
        <v>&gt;=3 AND &lt;=5</v>
      </c>
    </row>
    <row r="8" spans="1:8" x14ac:dyDescent="0.25">
      <c r="A8">
        <v>7</v>
      </c>
      <c r="C8" t="str">
        <f t="shared" si="0"/>
        <v>&gt;4</v>
      </c>
      <c r="D8" t="str">
        <f t="shared" si="1"/>
        <v>&gt;=3 AND &lt;=5</v>
      </c>
    </row>
    <row r="9" spans="1:8" x14ac:dyDescent="0.25">
      <c r="A9">
        <v>8</v>
      </c>
      <c r="C9" t="str">
        <f t="shared" si="0"/>
        <v>&gt;4</v>
      </c>
      <c r="D9" t="str">
        <f t="shared" si="1"/>
        <v>&gt;=3 AND &lt;=5</v>
      </c>
    </row>
    <row r="10" spans="1:8" x14ac:dyDescent="0.25">
      <c r="A10">
        <v>9</v>
      </c>
      <c r="C10" t="str">
        <f t="shared" si="0"/>
        <v>&gt;4</v>
      </c>
      <c r="D10" t="str">
        <f t="shared" si="1"/>
        <v>&gt;=3 AND &lt;=5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2571-B11E-4093-8A86-019CA2191A69}">
  <dimension ref="A1:D7"/>
  <sheetViews>
    <sheetView zoomScale="130" zoomScaleNormal="130" workbookViewId="0">
      <selection activeCell="D7" sqref="D7"/>
    </sheetView>
  </sheetViews>
  <sheetFormatPr defaultRowHeight="15" x14ac:dyDescent="0.25"/>
  <sheetData>
    <row r="1" spans="1:4" x14ac:dyDescent="0.25">
      <c r="A1" t="s">
        <v>65</v>
      </c>
      <c r="B1" t="s">
        <v>66</v>
      </c>
      <c r="D1" t="str">
        <f>_xlfn.CONCAT(A1, " ",B1)</f>
        <v>Rene Lumbang</v>
      </c>
    </row>
    <row r="2" spans="1:4" x14ac:dyDescent="0.25">
      <c r="D2">
        <f>LEN(A1)</f>
        <v>4</v>
      </c>
    </row>
    <row r="3" spans="1:4" x14ac:dyDescent="0.25">
      <c r="D3">
        <f>LEN(B1)</f>
        <v>7</v>
      </c>
    </row>
    <row r="4" spans="1:4" x14ac:dyDescent="0.25">
      <c r="D4">
        <f>LEN(D1)</f>
        <v>12</v>
      </c>
    </row>
    <row r="6" spans="1:4" x14ac:dyDescent="0.25">
      <c r="A6" t="s">
        <v>67</v>
      </c>
      <c r="B6" t="str">
        <f>TRIM(A6)</f>
        <v>fwfw</v>
      </c>
      <c r="D6">
        <f>LEN(A6)</f>
        <v>5</v>
      </c>
    </row>
    <row r="7" spans="1:4" x14ac:dyDescent="0.25">
      <c r="A7" t="s">
        <v>68</v>
      </c>
      <c r="D7">
        <f>LEN(B6)</f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289E-CD6B-4F41-98A3-67E53CCBD6A3}">
  <dimension ref="A1:I15"/>
  <sheetViews>
    <sheetView showGridLines="0" zoomScale="115" zoomScaleNormal="115" workbookViewId="0">
      <selection activeCell="D15" sqref="D15"/>
    </sheetView>
  </sheetViews>
  <sheetFormatPr defaultRowHeight="15" x14ac:dyDescent="0.25"/>
  <cols>
    <col min="1" max="1" width="12.7109375" bestFit="1" customWidth="1"/>
  </cols>
  <sheetData>
    <row r="1" spans="1:9" x14ac:dyDescent="0.25">
      <c r="C1" s="26" t="s">
        <v>83</v>
      </c>
      <c r="D1" s="26"/>
      <c r="E1" s="26"/>
      <c r="F1" s="26" t="s">
        <v>84</v>
      </c>
      <c r="G1" s="26"/>
      <c r="H1" s="26"/>
      <c r="I1" s="26"/>
    </row>
    <row r="2" spans="1:9" x14ac:dyDescent="0.25">
      <c r="C2" s="24" t="s">
        <v>48</v>
      </c>
      <c r="D2" s="24" t="s">
        <v>49</v>
      </c>
      <c r="E2" s="24" t="s">
        <v>50</v>
      </c>
      <c r="F2" s="24" t="s">
        <v>51</v>
      </c>
      <c r="G2" s="24" t="s">
        <v>52</v>
      </c>
      <c r="H2" s="24" t="s">
        <v>53</v>
      </c>
      <c r="I2" s="24" t="s">
        <v>54</v>
      </c>
    </row>
    <row r="3" spans="1:9" x14ac:dyDescent="0.25">
      <c r="A3" s="31" t="s">
        <v>69</v>
      </c>
      <c r="B3" s="23" t="s">
        <v>72</v>
      </c>
      <c r="C3" s="25">
        <v>0.84750099999999995</v>
      </c>
      <c r="D3" s="25">
        <v>0.10115689999999999</v>
      </c>
      <c r="E3" s="25">
        <v>0.22035540000000001</v>
      </c>
      <c r="F3" s="25">
        <v>0.25586500000000001</v>
      </c>
      <c r="G3" s="25">
        <v>0.73044699999999996</v>
      </c>
      <c r="H3" s="25">
        <v>0.10432329999999999</v>
      </c>
      <c r="I3" s="25">
        <v>0.57022519999999999</v>
      </c>
    </row>
    <row r="4" spans="1:9" x14ac:dyDescent="0.25">
      <c r="A4" s="31"/>
      <c r="B4" s="23" t="s">
        <v>73</v>
      </c>
      <c r="C4" s="25">
        <v>0.16182969999999999</v>
      </c>
      <c r="D4" s="25">
        <v>0.64798140000000004</v>
      </c>
      <c r="E4" s="25">
        <v>0.65888650000000004</v>
      </c>
      <c r="F4" s="25">
        <v>0.9595262</v>
      </c>
      <c r="G4" s="25">
        <v>0.47185519999999997</v>
      </c>
      <c r="H4" s="25">
        <v>0.29491329999999999</v>
      </c>
      <c r="I4" s="25">
        <v>0.71232280000000003</v>
      </c>
    </row>
    <row r="5" spans="1:9" x14ac:dyDescent="0.25">
      <c r="A5" s="31"/>
      <c r="B5" s="23" t="s">
        <v>74</v>
      </c>
      <c r="C5" s="25">
        <v>0.56484460000000003</v>
      </c>
      <c r="D5" s="25">
        <v>0.93954130000000002</v>
      </c>
      <c r="E5" s="25">
        <v>0.87195719999999999</v>
      </c>
      <c r="F5" s="25">
        <v>0.1153498</v>
      </c>
      <c r="G5" s="25">
        <v>0.58036989999999999</v>
      </c>
      <c r="H5" s="25">
        <v>0.13747480000000001</v>
      </c>
      <c r="I5" s="25">
        <v>0.2062042</v>
      </c>
    </row>
    <row r="6" spans="1:9" x14ac:dyDescent="0.25">
      <c r="A6" s="31"/>
      <c r="B6" s="23" t="s">
        <v>75</v>
      </c>
      <c r="C6" s="25">
        <v>0.41382419999999998</v>
      </c>
      <c r="D6" s="25">
        <v>0.72161960000000003</v>
      </c>
      <c r="E6" s="25">
        <v>4.3930700000000003E-2</v>
      </c>
      <c r="F6" s="25">
        <v>0.42858859999999999</v>
      </c>
      <c r="G6" s="25">
        <v>0.39602379999999998</v>
      </c>
      <c r="H6" s="25">
        <v>0.88936510000000002</v>
      </c>
      <c r="I6" s="25">
        <v>0.3437095</v>
      </c>
    </row>
    <row r="7" spans="1:9" x14ac:dyDescent="0.25">
      <c r="A7" s="32" t="s">
        <v>70</v>
      </c>
      <c r="B7" s="23" t="s">
        <v>76</v>
      </c>
      <c r="C7" s="25">
        <v>0.89676869999999997</v>
      </c>
      <c r="D7" s="25">
        <v>0.43172709999999997</v>
      </c>
      <c r="E7" s="25">
        <v>0.76295999999999997</v>
      </c>
      <c r="F7" s="25">
        <v>0.35379270000000002</v>
      </c>
      <c r="G7" s="25">
        <v>0.92228900000000003</v>
      </c>
      <c r="H7" s="25">
        <v>0.65013259999999995</v>
      </c>
      <c r="I7" s="25">
        <v>0.93748169999999997</v>
      </c>
    </row>
    <row r="8" spans="1:9" x14ac:dyDescent="0.25">
      <c r="A8" s="32"/>
      <c r="B8" s="23" t="s">
        <v>77</v>
      </c>
      <c r="C8" s="25">
        <v>4.19736E-2</v>
      </c>
      <c r="D8" s="25">
        <v>7.46531E-2</v>
      </c>
      <c r="E8" s="25">
        <v>0.25379010000000002</v>
      </c>
      <c r="F8" s="25">
        <v>9.8222799999999999E-2</v>
      </c>
      <c r="G8" s="25">
        <v>7.1092000000000002E-2</v>
      </c>
      <c r="H8" s="25">
        <v>0.26299230000000001</v>
      </c>
      <c r="I8" s="25">
        <v>0.59364620000000001</v>
      </c>
    </row>
    <row r="9" spans="1:9" x14ac:dyDescent="0.25">
      <c r="A9" s="32"/>
      <c r="B9" s="23" t="s">
        <v>78</v>
      </c>
      <c r="C9" s="25">
        <v>0.57801100000000005</v>
      </c>
      <c r="D9" s="25">
        <v>0.43743959999999998</v>
      </c>
      <c r="E9" s="25">
        <v>0.65315120000000004</v>
      </c>
      <c r="F9" s="25">
        <v>0.53790119999999997</v>
      </c>
      <c r="G9" s="25">
        <v>0.28071089999999999</v>
      </c>
      <c r="H9" s="25">
        <v>0.2026299</v>
      </c>
      <c r="I9" s="25">
        <v>0.35936459999999998</v>
      </c>
    </row>
    <row r="10" spans="1:9" x14ac:dyDescent="0.25">
      <c r="A10" s="32"/>
      <c r="B10" s="23" t="s">
        <v>79</v>
      </c>
      <c r="C10" s="25">
        <v>0.29578009999999999</v>
      </c>
      <c r="D10" s="25">
        <v>0.1043743</v>
      </c>
      <c r="E10" s="25">
        <v>0.96515340000000005</v>
      </c>
      <c r="F10" s="25">
        <v>0.90127330000000005</v>
      </c>
      <c r="G10" s="25">
        <v>0.33417780000000002</v>
      </c>
      <c r="H10" s="25">
        <v>6.1244600000000003E-2</v>
      </c>
      <c r="I10" s="25">
        <v>0.54449239999999999</v>
      </c>
    </row>
    <row r="11" spans="1:9" x14ac:dyDescent="0.25">
      <c r="A11" s="32" t="s">
        <v>71</v>
      </c>
      <c r="B11" s="23" t="s">
        <v>80</v>
      </c>
      <c r="C11" s="25">
        <v>0.4727711</v>
      </c>
      <c r="D11" s="25">
        <v>0.34615879999999999</v>
      </c>
      <c r="E11" s="25">
        <v>0.84281309999999998</v>
      </c>
      <c r="F11" s="25">
        <v>0.63002119999999995</v>
      </c>
      <c r="G11" s="25">
        <v>0.99023510000000003</v>
      </c>
      <c r="H11" s="25">
        <v>6.8774399999999999E-2</v>
      </c>
      <c r="I11" s="25">
        <v>0.89832040000000002</v>
      </c>
    </row>
    <row r="12" spans="1:9" x14ac:dyDescent="0.25">
      <c r="A12" s="32"/>
      <c r="B12" s="23" t="s">
        <v>81</v>
      </c>
      <c r="C12" s="25">
        <v>0.81598150000000003</v>
      </c>
      <c r="D12" s="25">
        <v>0.67248169999999996</v>
      </c>
      <c r="E12" s="25">
        <v>7.6789099999999999E-2</v>
      </c>
      <c r="F12" s="25">
        <v>0.40779860000000001</v>
      </c>
      <c r="G12" s="25">
        <v>0.38248450000000001</v>
      </c>
      <c r="H12" s="25">
        <v>0.46526990000000001</v>
      </c>
      <c r="I12" s="25">
        <v>0.1239459</v>
      </c>
    </row>
    <row r="13" spans="1:9" x14ac:dyDescent="0.25">
      <c r="A13" s="32"/>
      <c r="B13" s="23" t="s">
        <v>82</v>
      </c>
      <c r="C13" s="25">
        <v>0.89453890000000003</v>
      </c>
      <c r="D13" s="25">
        <v>0.54847769999999996</v>
      </c>
      <c r="E13" s="25">
        <v>0.91941099999999998</v>
      </c>
      <c r="F13" s="25">
        <v>0.6544373</v>
      </c>
      <c r="G13" s="25">
        <v>0.1234567</v>
      </c>
      <c r="H13" s="25">
        <v>0.7890123</v>
      </c>
      <c r="I13" s="25">
        <v>0.456789</v>
      </c>
    </row>
    <row r="15" spans="1:9" x14ac:dyDescent="0.25">
      <c r="B15" t="s">
        <v>73</v>
      </c>
    </row>
  </sheetData>
  <mergeCells count="3">
    <mergeCell ref="A3:A6"/>
    <mergeCell ref="A7:A10"/>
    <mergeCell ref="A11:A13"/>
  </mergeCells>
  <phoneticPr fontId="2" type="noConversion"/>
  <conditionalFormatting sqref="C3:I13">
    <cfRule type="cellIs" dxfId="0" priority="1" operator="greaterThan">
      <formula>0.5</formula>
    </cfRule>
    <cfRule type="cellIs" priority="2" operator="greaterThan">
      <formula>0.5</formula>
    </cfRule>
  </conditionalFormatting>
  <dataValidations count="1">
    <dataValidation type="list" allowBlank="1" showInputMessage="1" showErrorMessage="1" sqref="B15" xr:uid="{EE94F84D-4464-4141-992B-C0B5D8D699CF}">
      <formula1>$B$3:$B$13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F285-A2B1-4B48-9488-473D827664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1279-0C8B-49FF-81B3-9D73CB1B7A25}">
  <dimension ref="A1:B20"/>
  <sheetViews>
    <sheetView workbookViewId="0">
      <selection activeCell="D13" sqref="D13"/>
    </sheetView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85</v>
      </c>
      <c r="B2" t="s">
        <v>97</v>
      </c>
    </row>
    <row r="3" spans="1:2" x14ac:dyDescent="0.25">
      <c r="A3" t="s">
        <v>5</v>
      </c>
      <c r="B3" t="s">
        <v>98</v>
      </c>
    </row>
    <row r="4" spans="1:2" x14ac:dyDescent="0.25">
      <c r="A4" t="s">
        <v>5</v>
      </c>
      <c r="B4" t="s">
        <v>86</v>
      </c>
    </row>
    <row r="5" spans="1:2" x14ac:dyDescent="0.25">
      <c r="A5" t="s">
        <v>86</v>
      </c>
      <c r="B5" t="s">
        <v>99</v>
      </c>
    </row>
    <row r="6" spans="1:2" x14ac:dyDescent="0.25">
      <c r="A6" t="s">
        <v>87</v>
      </c>
      <c r="B6" t="s">
        <v>5</v>
      </c>
    </row>
    <row r="7" spans="1:2" x14ac:dyDescent="0.25">
      <c r="A7" t="s">
        <v>88</v>
      </c>
      <c r="B7" t="s">
        <v>100</v>
      </c>
    </row>
    <row r="8" spans="1:2" x14ac:dyDescent="0.25">
      <c r="A8" t="s">
        <v>89</v>
      </c>
      <c r="B8" t="s">
        <v>100</v>
      </c>
    </row>
    <row r="9" spans="1:2" x14ac:dyDescent="0.25">
      <c r="A9" t="s">
        <v>90</v>
      </c>
      <c r="B9" t="s">
        <v>100</v>
      </c>
    </row>
    <row r="10" spans="1:2" x14ac:dyDescent="0.25">
      <c r="A10" t="s">
        <v>91</v>
      </c>
      <c r="B10" t="s">
        <v>86</v>
      </c>
    </row>
    <row r="11" spans="1:2" x14ac:dyDescent="0.25">
      <c r="A11" t="s">
        <v>88</v>
      </c>
      <c r="B11" t="s">
        <v>101</v>
      </c>
    </row>
    <row r="12" spans="1:2" x14ac:dyDescent="0.25">
      <c r="A12" t="s">
        <v>92</v>
      </c>
      <c r="B12" t="s">
        <v>86</v>
      </c>
    </row>
    <row r="13" spans="1:2" x14ac:dyDescent="0.25">
      <c r="A13" t="s">
        <v>92</v>
      </c>
      <c r="B13" t="s">
        <v>86</v>
      </c>
    </row>
    <row r="14" spans="1:2" x14ac:dyDescent="0.25">
      <c r="A14" t="s">
        <v>89</v>
      </c>
      <c r="B14" t="s">
        <v>102</v>
      </c>
    </row>
    <row r="15" spans="1:2" x14ac:dyDescent="0.25">
      <c r="A15" t="s">
        <v>92</v>
      </c>
      <c r="B15" t="s">
        <v>103</v>
      </c>
    </row>
    <row r="16" spans="1:2" x14ac:dyDescent="0.25">
      <c r="A16" t="s">
        <v>93</v>
      </c>
      <c r="B16" t="s">
        <v>94</v>
      </c>
    </row>
    <row r="17" spans="1:2" x14ac:dyDescent="0.25">
      <c r="A17" t="s">
        <v>94</v>
      </c>
      <c r="B17" t="s">
        <v>86</v>
      </c>
    </row>
    <row r="18" spans="1:2" x14ac:dyDescent="0.25">
      <c r="A18" t="s">
        <v>95</v>
      </c>
      <c r="B18" t="s">
        <v>92</v>
      </c>
    </row>
    <row r="19" spans="1:2" x14ac:dyDescent="0.25">
      <c r="A19" t="s">
        <v>96</v>
      </c>
      <c r="B19" t="s">
        <v>88</v>
      </c>
    </row>
    <row r="20" spans="1:2" x14ac:dyDescent="0.25">
      <c r="A20" t="s">
        <v>86</v>
      </c>
      <c r="B20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535C-EE1A-4F09-A434-C5418706C850}">
  <dimension ref="A1:C12"/>
  <sheetViews>
    <sheetView workbookViewId="0">
      <selection sqref="A1:A12"/>
    </sheetView>
  </sheetViews>
  <sheetFormatPr defaultRowHeight="15" x14ac:dyDescent="0.25"/>
  <sheetData>
    <row r="1" spans="1:3" x14ac:dyDescent="0.25">
      <c r="A1" t="s">
        <v>48</v>
      </c>
      <c r="B1" t="s">
        <v>49</v>
      </c>
      <c r="C1" t="s">
        <v>50</v>
      </c>
    </row>
    <row r="2" spans="1:3" x14ac:dyDescent="0.25">
      <c r="A2" t="s">
        <v>5</v>
      </c>
      <c r="B2">
        <v>123</v>
      </c>
      <c r="C2">
        <v>123131</v>
      </c>
    </row>
    <row r="3" spans="1:3" x14ac:dyDescent="0.25">
      <c r="A3" t="s">
        <v>97</v>
      </c>
      <c r="B3">
        <v>232</v>
      </c>
      <c r="C3">
        <v>123123</v>
      </c>
    </row>
    <row r="4" spans="1:3" x14ac:dyDescent="0.25">
      <c r="A4" t="s">
        <v>104</v>
      </c>
      <c r="B4">
        <v>4</v>
      </c>
      <c r="C4">
        <v>42431</v>
      </c>
    </row>
    <row r="5" spans="1:3" x14ac:dyDescent="0.25">
      <c r="A5" t="s">
        <v>105</v>
      </c>
      <c r="B5">
        <v>4</v>
      </c>
      <c r="C5">
        <v>14124</v>
      </c>
    </row>
    <row r="6" spans="1:3" x14ac:dyDescent="0.25">
      <c r="A6" t="s">
        <v>106</v>
      </c>
      <c r="B6">
        <v>54</v>
      </c>
      <c r="C6">
        <v>1512</v>
      </c>
    </row>
    <row r="7" spans="1:3" x14ac:dyDescent="0.25">
      <c r="A7" t="s">
        <v>86</v>
      </c>
      <c r="B7">
        <v>515215</v>
      </c>
    </row>
    <row r="8" spans="1:3" x14ac:dyDescent="0.25">
      <c r="A8" t="s">
        <v>5</v>
      </c>
      <c r="B8">
        <v>1</v>
      </c>
      <c r="C8">
        <v>42342</v>
      </c>
    </row>
    <row r="9" spans="1:3" x14ac:dyDescent="0.25">
      <c r="A9" t="s">
        <v>97</v>
      </c>
      <c r="B9">
        <v>12</v>
      </c>
      <c r="C9">
        <v>555</v>
      </c>
    </row>
    <row r="10" spans="1:3" x14ac:dyDescent="0.25">
      <c r="A10" t="s">
        <v>104</v>
      </c>
      <c r="B10">
        <v>6</v>
      </c>
      <c r="C10">
        <v>141</v>
      </c>
    </row>
    <row r="11" spans="1:3" x14ac:dyDescent="0.25">
      <c r="A11" t="s">
        <v>104</v>
      </c>
      <c r="B11">
        <v>5.5</v>
      </c>
      <c r="C11">
        <v>111</v>
      </c>
    </row>
    <row r="12" spans="1:3" x14ac:dyDescent="0.25">
      <c r="A12" t="s">
        <v>105</v>
      </c>
      <c r="B12">
        <v>45.5</v>
      </c>
      <c r="C12">
        <v>1231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C43A-F7D2-492A-8B07-49C0903D1C9B}">
  <dimension ref="A1:C13"/>
  <sheetViews>
    <sheetView zoomScale="115" zoomScaleNormal="115" workbookViewId="0">
      <selection activeCell="C5" sqref="A1:C13"/>
    </sheetView>
  </sheetViews>
  <sheetFormatPr defaultRowHeight="15" x14ac:dyDescent="0.25"/>
  <cols>
    <col min="2" max="2" width="11" bestFit="1" customWidth="1"/>
  </cols>
  <sheetData>
    <row r="1" spans="1:3" x14ac:dyDescent="0.25">
      <c r="A1" t="s">
        <v>48</v>
      </c>
      <c r="B1" t="s">
        <v>49</v>
      </c>
      <c r="C1" t="s">
        <v>50</v>
      </c>
    </row>
    <row r="2" spans="1:3" x14ac:dyDescent="0.25">
      <c r="A2" t="s">
        <v>5</v>
      </c>
      <c r="B2">
        <v>0.81027800000000005</v>
      </c>
      <c r="C2" t="s">
        <v>83</v>
      </c>
    </row>
    <row r="3" spans="1:3" x14ac:dyDescent="0.25">
      <c r="A3" t="s">
        <v>97</v>
      </c>
      <c r="B3">
        <v>0.56097799999999998</v>
      </c>
      <c r="C3" t="s">
        <v>84</v>
      </c>
    </row>
    <row r="4" spans="1:3" x14ac:dyDescent="0.25">
      <c r="A4" t="s">
        <v>97</v>
      </c>
      <c r="B4">
        <v>4.17002E-2</v>
      </c>
      <c r="C4" t="s">
        <v>83</v>
      </c>
    </row>
    <row r="5" spans="1:3" x14ac:dyDescent="0.25">
      <c r="A5" t="s">
        <v>97</v>
      </c>
      <c r="B5">
        <v>0.98986960000000002</v>
      </c>
      <c r="C5" t="s">
        <v>84</v>
      </c>
    </row>
    <row r="6" spans="1:3" x14ac:dyDescent="0.25">
      <c r="A6" t="s">
        <v>97</v>
      </c>
      <c r="B6">
        <v>0.28848099999999999</v>
      </c>
      <c r="C6" t="s">
        <v>83</v>
      </c>
    </row>
    <row r="7" spans="1:3" x14ac:dyDescent="0.25">
      <c r="A7" t="s">
        <v>5</v>
      </c>
      <c r="B7">
        <v>0.68350900000000003</v>
      </c>
      <c r="C7" t="s">
        <v>84</v>
      </c>
    </row>
    <row r="8" spans="1:3" x14ac:dyDescent="0.25">
      <c r="A8" t="s">
        <v>106</v>
      </c>
      <c r="B8">
        <v>0.33240900000000001</v>
      </c>
      <c r="C8" t="s">
        <v>83</v>
      </c>
    </row>
    <row r="9" spans="1:3" x14ac:dyDescent="0.25">
      <c r="A9" t="s">
        <v>107</v>
      </c>
      <c r="B9">
        <v>0.42905599999999999</v>
      </c>
      <c r="C9" t="s">
        <v>84</v>
      </c>
    </row>
    <row r="10" spans="1:3" x14ac:dyDescent="0.25">
      <c r="A10" t="s">
        <v>107</v>
      </c>
      <c r="B10">
        <v>0.29420600000000002</v>
      </c>
      <c r="C10" t="s">
        <v>83</v>
      </c>
    </row>
    <row r="11" spans="1:3" x14ac:dyDescent="0.25">
      <c r="A11" t="s">
        <v>108</v>
      </c>
      <c r="B11">
        <v>0.30904199999999998</v>
      </c>
      <c r="C11" t="s">
        <v>84</v>
      </c>
    </row>
    <row r="12" spans="1:3" x14ac:dyDescent="0.25">
      <c r="A12" t="s">
        <v>109</v>
      </c>
      <c r="B12">
        <v>0.21340999999999999</v>
      </c>
      <c r="C12" t="s">
        <v>83</v>
      </c>
    </row>
    <row r="13" spans="1:3" x14ac:dyDescent="0.25">
      <c r="A13" t="s">
        <v>86</v>
      </c>
      <c r="B13">
        <v>0.12515150999999999</v>
      </c>
      <c r="C13" t="s">
        <v>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15E9-B294-43D4-B654-DFBD5C1C4C9E}">
  <dimension ref="A3:D12"/>
  <sheetViews>
    <sheetView workbookViewId="0">
      <selection activeCell="A3" sqref="A3"/>
    </sheetView>
  </sheetViews>
  <sheetFormatPr defaultRowHeight="15" x14ac:dyDescent="0.25"/>
  <cols>
    <col min="1" max="1" width="16.42578125" bestFit="1" customWidth="1"/>
    <col min="2" max="2" width="16.85546875" bestFit="1" customWidth="1"/>
    <col min="3" max="3" width="11" bestFit="1" customWidth="1"/>
    <col min="4" max="4" width="11.28515625" bestFit="1" customWidth="1"/>
  </cols>
  <sheetData>
    <row r="3" spans="1:4" x14ac:dyDescent="0.25">
      <c r="A3" s="34" t="s">
        <v>110</v>
      </c>
      <c r="B3" s="34" t="s">
        <v>111</v>
      </c>
    </row>
    <row r="4" spans="1:4" x14ac:dyDescent="0.25">
      <c r="A4" s="34" t="s">
        <v>113</v>
      </c>
      <c r="B4" t="s">
        <v>83</v>
      </c>
      <c r="C4" t="s">
        <v>84</v>
      </c>
      <c r="D4" t="s">
        <v>112</v>
      </c>
    </row>
    <row r="5" spans="1:4" x14ac:dyDescent="0.25">
      <c r="A5" s="35" t="s">
        <v>5</v>
      </c>
      <c r="B5" s="33">
        <v>0.81027800000000005</v>
      </c>
      <c r="C5" s="33">
        <v>0.68350900000000003</v>
      </c>
      <c r="D5" s="33">
        <v>1.4937870000000002</v>
      </c>
    </row>
    <row r="6" spans="1:4" x14ac:dyDescent="0.25">
      <c r="A6" s="35" t="s">
        <v>97</v>
      </c>
      <c r="B6" s="33">
        <v>0.33018120000000001</v>
      </c>
      <c r="C6" s="33">
        <v>1.5508476</v>
      </c>
      <c r="D6" s="33">
        <v>1.8810287999999999</v>
      </c>
    </row>
    <row r="7" spans="1:4" x14ac:dyDescent="0.25">
      <c r="A7" s="35" t="s">
        <v>109</v>
      </c>
      <c r="B7" s="33">
        <v>0.21340999999999999</v>
      </c>
      <c r="C7" s="33"/>
      <c r="D7" s="33">
        <v>0.21340999999999999</v>
      </c>
    </row>
    <row r="8" spans="1:4" x14ac:dyDescent="0.25">
      <c r="A8" s="35" t="s">
        <v>106</v>
      </c>
      <c r="B8" s="33">
        <v>0.33240900000000001</v>
      </c>
      <c r="C8" s="33"/>
      <c r="D8" s="33">
        <v>0.33240900000000001</v>
      </c>
    </row>
    <row r="9" spans="1:4" x14ac:dyDescent="0.25">
      <c r="A9" s="35" t="s">
        <v>86</v>
      </c>
      <c r="B9" s="33"/>
      <c r="C9" s="33">
        <v>0.12515150999999999</v>
      </c>
      <c r="D9" s="33">
        <v>0.12515150999999999</v>
      </c>
    </row>
    <row r="10" spans="1:4" x14ac:dyDescent="0.25">
      <c r="A10" s="35" t="s">
        <v>107</v>
      </c>
      <c r="B10" s="33">
        <v>0.29420600000000002</v>
      </c>
      <c r="C10" s="33">
        <v>0.42905599999999999</v>
      </c>
      <c r="D10" s="33">
        <v>0.72326200000000007</v>
      </c>
    </row>
    <row r="11" spans="1:4" x14ac:dyDescent="0.25">
      <c r="A11" s="35" t="s">
        <v>108</v>
      </c>
      <c r="B11" s="33"/>
      <c r="C11" s="33">
        <v>0.30904199999999998</v>
      </c>
      <c r="D11" s="33">
        <v>0.30904199999999998</v>
      </c>
    </row>
    <row r="12" spans="1:4" x14ac:dyDescent="0.25">
      <c r="A12" s="35" t="s">
        <v>112</v>
      </c>
      <c r="B12" s="33">
        <v>1.9804842</v>
      </c>
      <c r="C12" s="33">
        <v>3.0976061099999996</v>
      </c>
      <c r="D12" s="33">
        <v>5.0780903100000003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CC07-22B8-4C5F-81E7-0137F45F51E3}">
  <dimension ref="A2:C8"/>
  <sheetViews>
    <sheetView tabSelected="1" zoomScale="145" zoomScaleNormal="145" workbookViewId="0">
      <selection activeCell="D10" sqref="D10"/>
    </sheetView>
  </sheetViews>
  <sheetFormatPr defaultRowHeight="15" x14ac:dyDescent="0.25"/>
  <cols>
    <col min="1" max="1" width="17.85546875" bestFit="1" customWidth="1"/>
    <col min="2" max="2" width="11" bestFit="1" customWidth="1"/>
    <col min="3" max="3" width="14" bestFit="1" customWidth="1"/>
  </cols>
  <sheetData>
    <row r="2" spans="1:3" x14ac:dyDescent="0.25">
      <c r="A2" t="s">
        <v>114</v>
      </c>
      <c r="B2" s="36">
        <v>73343</v>
      </c>
    </row>
    <row r="3" spans="1:3" x14ac:dyDescent="0.25">
      <c r="A3" t="s">
        <v>115</v>
      </c>
      <c r="B3">
        <v>991</v>
      </c>
    </row>
    <row r="4" spans="1:3" x14ac:dyDescent="0.25">
      <c r="A4" t="s">
        <v>116</v>
      </c>
      <c r="B4">
        <f>B3/7</f>
        <v>141.57142857142858</v>
      </c>
    </row>
    <row r="5" spans="1:3" x14ac:dyDescent="0.25">
      <c r="A5" t="s">
        <v>117</v>
      </c>
      <c r="B5">
        <v>188.29364278506569</v>
      </c>
      <c r="C5" t="s">
        <v>120</v>
      </c>
    </row>
    <row r="7" spans="1:3" x14ac:dyDescent="0.25">
      <c r="A7" t="s">
        <v>118</v>
      </c>
      <c r="B7">
        <f>B2+(B4*B5)</f>
        <v>100000.00000000001</v>
      </c>
      <c r="C7" t="s">
        <v>121</v>
      </c>
    </row>
    <row r="8" spans="1:3" x14ac:dyDescent="0.25">
      <c r="A8" t="s">
        <v>119</v>
      </c>
      <c r="B8" s="1">
        <f ca="1">TODAY()+B5</f>
        <v>46158.293642785065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Layout</vt:lpstr>
      <vt:lpstr>Excel Data Types</vt:lpstr>
      <vt:lpstr>Aggregation Functions</vt:lpstr>
      <vt:lpstr>LOOKUPS</vt:lpstr>
      <vt:lpstr>IF Functions</vt:lpstr>
      <vt:lpstr>String Functions</vt:lpstr>
      <vt:lpstr>Formatting</vt:lpstr>
      <vt:lpstr>Correctly Import CSV</vt:lpstr>
      <vt:lpstr>Removing Duplicates</vt:lpstr>
      <vt:lpstr>Text to Columns</vt:lpstr>
      <vt:lpstr>Filters</vt:lpstr>
      <vt:lpstr>Pivot Tables</vt:lpstr>
      <vt:lpstr>Goal 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Remuel</dc:creator>
  <cp:lastModifiedBy>Remuel</cp:lastModifiedBy>
  <dcterms:created xsi:type="dcterms:W3CDTF">2025-11-07T05:58:19Z</dcterms:created>
  <dcterms:modified xsi:type="dcterms:W3CDTF">2025-11-09T06:50:43Z</dcterms:modified>
</cp:coreProperties>
</file>