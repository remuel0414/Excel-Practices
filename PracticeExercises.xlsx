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emuel\Desktop\Data Analyst Portfolio\"/>
    </mc:Choice>
  </mc:AlternateContent>
  <xr:revisionPtr revIDLastSave="0" documentId="13_ncr:1_{A2D5357F-0390-4F09-9716-8693D7038DBC}" xr6:coauthVersionLast="47" xr6:coauthVersionMax="47" xr10:uidLastSave="{00000000-0000-0000-0000-000000000000}"/>
  <bookViews>
    <workbookView xWindow="-120" yWindow="-120" windowWidth="29040" windowHeight="15840" xr2:uid="{09D53718-A67B-48A7-B731-DF85C5659A38}"/>
  </bookViews>
  <sheets>
    <sheet name="Practice" sheetId="2" r:id="rId1"/>
    <sheet name="Summary and Pivot Table" sheetId="3" r:id="rId2"/>
  </sheets>
  <definedNames>
    <definedName name="ExternalData_1" localSheetId="0" hidden="1">Practice!$A$1:$G$51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I2" i="2" s="1"/>
  <c r="H3" i="2"/>
  <c r="I3" i="2" s="1"/>
  <c r="H4" i="2"/>
  <c r="I4" i="2" s="1"/>
  <c r="H5" i="2"/>
  <c r="I5" i="2" s="1"/>
  <c r="H6" i="2"/>
  <c r="I6" i="2" s="1"/>
  <c r="H7" i="2"/>
  <c r="I7" i="2" s="1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H29" i="2"/>
  <c r="I29" i="2" s="1"/>
  <c r="H30" i="2"/>
  <c r="I30" i="2" s="1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H45" i="2"/>
  <c r="I45" i="2" s="1"/>
  <c r="H46" i="2"/>
  <c r="I46" i="2" s="1"/>
  <c r="H47" i="2"/>
  <c r="I47" i="2" s="1"/>
  <c r="H48" i="2"/>
  <c r="I48" i="2" s="1"/>
  <c r="H49" i="2"/>
  <c r="I49" i="2" s="1"/>
  <c r="H50" i="2"/>
  <c r="I50" i="2" s="1"/>
  <c r="H51" i="2"/>
  <c r="I51" i="2" s="1"/>
  <c r="I28" i="2"/>
  <c r="I44" i="2"/>
  <c r="D4" i="3"/>
  <c r="D3" i="3"/>
  <c r="B6" i="3"/>
  <c r="B5" i="3"/>
  <c r="B4" i="3"/>
  <c r="B3" i="3"/>
  <c r="B2" i="3"/>
  <c r="D2" i="3"/>
  <c r="B55" i="2"/>
  <c r="B54" i="2"/>
  <c r="B53" i="2"/>
  <c r="J2" i="2"/>
  <c r="K2" i="2"/>
  <c r="J3" i="2"/>
  <c r="K3" i="2"/>
  <c r="J4" i="2"/>
  <c r="K4" i="2"/>
  <c r="J5" i="2"/>
  <c r="K5" i="2"/>
  <c r="J6" i="2"/>
  <c r="K6" i="2"/>
  <c r="J7" i="2"/>
  <c r="K7" i="2"/>
  <c r="J8" i="2"/>
  <c r="K8" i="2"/>
  <c r="J9" i="2"/>
  <c r="K9" i="2"/>
  <c r="J10" i="2"/>
  <c r="K10" i="2"/>
  <c r="J11" i="2"/>
  <c r="K11" i="2"/>
  <c r="J12" i="2"/>
  <c r="K12" i="2"/>
  <c r="J13" i="2"/>
  <c r="K13" i="2"/>
  <c r="J14" i="2"/>
  <c r="K14" i="2"/>
  <c r="J15" i="2"/>
  <c r="K15" i="2"/>
  <c r="J16" i="2"/>
  <c r="K16" i="2"/>
  <c r="J17" i="2"/>
  <c r="K17" i="2"/>
  <c r="J18" i="2"/>
  <c r="K18" i="2"/>
  <c r="J19" i="2"/>
  <c r="K19" i="2"/>
  <c r="J20" i="2"/>
  <c r="K20" i="2"/>
  <c r="J21" i="2"/>
  <c r="K21" i="2"/>
  <c r="J22" i="2"/>
  <c r="K22" i="2"/>
  <c r="J23" i="2"/>
  <c r="K23" i="2"/>
  <c r="J24" i="2"/>
  <c r="K24" i="2"/>
  <c r="J25" i="2"/>
  <c r="K25" i="2"/>
  <c r="J26" i="2"/>
  <c r="K26" i="2"/>
  <c r="J27" i="2"/>
  <c r="K27" i="2"/>
  <c r="J28" i="2"/>
  <c r="K28" i="2"/>
  <c r="J29" i="2"/>
  <c r="K29" i="2"/>
  <c r="J30" i="2"/>
  <c r="K30" i="2"/>
  <c r="J31" i="2"/>
  <c r="K31" i="2"/>
  <c r="J32" i="2"/>
  <c r="K32" i="2"/>
  <c r="J33" i="2"/>
  <c r="K33" i="2"/>
  <c r="J34" i="2"/>
  <c r="K34" i="2"/>
  <c r="J35" i="2"/>
  <c r="K35" i="2"/>
  <c r="J36" i="2"/>
  <c r="K36" i="2"/>
  <c r="J37" i="2"/>
  <c r="K37" i="2"/>
  <c r="J38" i="2"/>
  <c r="K38" i="2"/>
  <c r="J39" i="2"/>
  <c r="K39" i="2"/>
  <c r="J40" i="2"/>
  <c r="K40" i="2"/>
  <c r="J41" i="2"/>
  <c r="K41" i="2"/>
  <c r="J42" i="2"/>
  <c r="K42" i="2"/>
  <c r="J43" i="2"/>
  <c r="K43" i="2"/>
  <c r="J44" i="2"/>
  <c r="K44" i="2"/>
  <c r="J45" i="2"/>
  <c r="K45" i="2"/>
  <c r="J46" i="2"/>
  <c r="K46" i="2"/>
  <c r="J47" i="2"/>
  <c r="K47" i="2"/>
  <c r="J48" i="2"/>
  <c r="K48" i="2"/>
  <c r="J49" i="2"/>
  <c r="K49" i="2"/>
  <c r="J50" i="2"/>
  <c r="K50" i="2"/>
  <c r="J51" i="2"/>
  <c r="K51" i="2"/>
  <c r="E54" i="2" l="1"/>
  <c r="F56" i="2" l="1"/>
  <c r="F5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282E66-9A5F-488E-9F2B-788944A416A1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<sst xmlns="http://schemas.openxmlformats.org/spreadsheetml/2006/main" count="243" uniqueCount="83">
  <si>
    <t>Date</t>
  </si>
  <si>
    <t>Customer</t>
  </si>
  <si>
    <t>Category</t>
  </si>
  <si>
    <t>Amount</t>
  </si>
  <si>
    <t>Status</t>
  </si>
  <si>
    <t>Notes</t>
  </si>
  <si>
    <t>Customer_1</t>
  </si>
  <si>
    <t>Groceries</t>
  </si>
  <si>
    <t>Pending</t>
  </si>
  <si>
    <t>Late delivery</t>
  </si>
  <si>
    <t>Customer_2</t>
  </si>
  <si>
    <t>Clothing</t>
  </si>
  <si>
    <t>Unpaid</t>
  </si>
  <si>
    <t>Discount applied</t>
  </si>
  <si>
    <t>Customer_3</t>
  </si>
  <si>
    <t>Follow up</t>
  </si>
  <si>
    <t>Customer_4</t>
  </si>
  <si>
    <t>Toys</t>
  </si>
  <si>
    <t>Customer_5</t>
  </si>
  <si>
    <t>Electronics</t>
  </si>
  <si>
    <t>Customer_6</t>
  </si>
  <si>
    <t>Paid</t>
  </si>
  <si>
    <t>Customer_7</t>
  </si>
  <si>
    <t>Customer_8</t>
  </si>
  <si>
    <t>Customer_9</t>
  </si>
  <si>
    <t>Customer_10</t>
  </si>
  <si>
    <t>Customer_11</t>
  </si>
  <si>
    <t>Customer_12</t>
  </si>
  <si>
    <t>Furniture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</si>
  <si>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</si>
  <si>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</si>
  <si>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</si>
  <si>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</si>
  <si>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</si>
  <si>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</si>
  <si>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</si>
  <si>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</si>
  <si>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</si>
  <si>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</si>
  <si>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</si>
  <si>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</si>
  <si>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</si>
  <si>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</si>
  <si>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</si>
  <si>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</si>
  <si>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</si>
  <si>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</si>
  <si>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</si>
  <si>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</si>
  <si>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</si>
  <si>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</si>
  <si>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</si>
  <si>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</si>
  <si>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</si>
  <si>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</si>
  <si>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</si>
  <si>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</si>
  <si>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</si>
  <si>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</si>
  <si>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</si>
  <si>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</si>
  <si>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</si>
  <si>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</si>
  <si>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</si>
  <si>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</si>
  <si>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</si>
  <si>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</si>
  <si>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None</t>
  </si>
  <si>
    <t>Tax</t>
  </si>
  <si>
    <t>Net Amount</t>
  </si>
  <si>
    <t>Day of Week</t>
  </si>
  <si>
    <t>Value Tier</t>
  </si>
  <si>
    <t>Orders Paid:</t>
  </si>
  <si>
    <t>Furnitures:</t>
  </si>
  <si>
    <t>Average of Paid:</t>
  </si>
  <si>
    <t>Total Amount (Per Category)</t>
  </si>
  <si>
    <t>Total Amount (Per Status)</t>
  </si>
  <si>
    <t>Grand Total</t>
  </si>
  <si>
    <t>Total Amount by Category and Status</t>
  </si>
  <si>
    <t>Tax Rate</t>
  </si>
  <si>
    <t>Average Net Amount</t>
  </si>
  <si>
    <t>% Decrease from 8%</t>
  </si>
  <si>
    <t>* Notes: The amount needed to get a net amount of 2000 with 8% tax is 2173.91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</si>
</sst>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₱&quot;* #,##0.00_-;\-&quot;₱&quot;* #,##0.00_-;_-&quot;₱&quot;* &quot;-&quot;??_-;_-@_-"/>
    <numFmt numFmtId="164" formatCode="_-[$$-409]* #,##0.00_ ;_-[$$-409]* \-#,##0.00\ ;_-[$$-409]* &quot;-&quot;??_ ;_-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4" borderId="3" applyNumberFormat="0" applyAlignment="0" applyProtection="0"/>
  </cellStyleXfs>
  <cellXfs count="16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1" xfId="1" applyNumberFormat="1" applyFont="1" applyBorder="1"/>
    <xf numFmtId="9" fontId="0" fillId="0" borderId="1" xfId="0" applyNumberFormat="1" applyBorder="1"/>
    <xf numFmtId="10" fontId="0" fillId="0" borderId="1" xfId="2" applyNumberFormat="1" applyFont="1" applyBorder="1"/>
    <xf numFmtId="0" fontId="0" fillId="0" borderId="2" xfId="0" applyBorder="1"/>
    <xf numFmtId="0" fontId="2" fillId="4" borderId="3" xfId="3"/>
    <xf numFmtId="164" fontId="2" fillId="4" borderId="3" xfId="3" applyNumberFormat="1"/>
  </cellXfs>
  <cellStyles count="4">
    <cellStyle name="Calculation" xfId="3" builtinId="22"/>
    <cellStyle name="Currency" xfId="1" builtinId="4"/>
    <cellStyle name="Normal" xfId="0" builtinId="0"/>
    <cellStyle name="Percent" xfId="2" builtinId="5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numFmt numFmtId="164" formatCode="_-[$$-409]* #,##0.00_ ;_-[$$-409]* \-#,##0.00\ ;_-[$$-409]* &quot;-&quot;??_ ;_-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[$$-409]* #,##0.00_ ;_-[$$-409]* \-#,##0.00\ ;_-[$$-409]* &quot;-&quot;??_ ;_-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[$$-409]* #,##0.00_ ;_-[$$-409]* \-#,##0.00\ ;_-[$$-409]* &quot;-&quot;??_ ;_-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[$$-409]* #,##0.00_ ;_-[$$-409]* \-#,##0.00\ ;_-[$$-409]* &quot;-&quot;??_ ;_-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[$$-409]* #,##0.00_ ;_-[$$-409]* \-#,##0.00\ ;_-[$$-409]* &quot;-&quot;??_ ;_-@_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[$$-409]* #,##0.00_ ;_-[$$-409]* \-#,##0.00\ ;_-[$$-409]* &quot;-&quot;??_ ;_-@_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 i="0" baseline="0">
                <a:solidFill>
                  <a:sysClr val="windowText" lastClr="000000"/>
                </a:solidFill>
              </a:rPr>
              <a:t>% of Paid vs Unpaid vs Pending</a:t>
            </a:r>
          </a:p>
        </c:rich>
      </c:tx>
      <c:layout>
        <c:manualLayout>
          <c:xMode val="edge"/>
          <c:yMode val="edge"/>
          <c:x val="0.26385411198600173"/>
          <c:y val="6.0185185185185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'Summary and Pivot Table'!$D$1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E6-4D80-B74B-984091B756B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E6-4D80-B74B-984091B756B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4E6-4D80-B74B-984091B756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'Summary and Pivot Table'!$C$2:$C$4</c:f>
              <c:strCache>
                <c:ptCount val="3"/>
                <c:pt idx="0">
                  <c:v>Pending</c:v>
                </c:pt>
                <c:pt idx="1">
                  <c:v>Unpaid</c:v>
                </c:pt>
                <c:pt idx="2">
                  <c:v>Paid</c:v>
                </c:pt>
              </c:strCache>
            </c:strRef>
          </c:cat>
          <c:val>
            <c:numRef>
              <c:f>'Summary and Pivot Table'!$D$2:$D$4</c:f>
              <c:numCache>
                <c:formatCode>General</c:formatCode>
                <c:ptCount val="3"/>
                <c:pt idx="0">
                  <c:v>20499.64</c:v>
                </c:pt>
                <c:pt idx="1">
                  <c:v>20637.883043478261</c:v>
                </c:pt>
                <c:pt idx="2">
                  <c:v>21196.730000000007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75-47FE-9A4D-4CE7E95E4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[PracticeExercises.xlsx]Summary and Pivot Table!PivotTable7</c:name>
    <c:fmtId val="6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'Summary and Pivot Table'!$B$10:$B$11</c:f>
              <c:strCache>
                <c:ptCount val="1"/>
                <c:pt idx="0">
                  <c:v>Paid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and Pivot Table'!$A$12:$A$17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Groceries</c:v>
                </c:pt>
                <c:pt idx="4">
                  <c:v>Toys</c:v>
                </c:pt>
              </c:strCache>
            </c:strRef>
          </c:cat>
          <c:val>
            <c:numRef>
              <c:f>'Summary and Pivot Table'!$B$12:$B$17</c:f>
              <c:numCache>
                <c:formatCode>_-[$$-409]* #,##0.00_ ;_-[$$-409]* \-#,##0.00\ ;_-[$$-409]* "-"??_ ;_-@_ </c:formatCode>
                <c:ptCount val="5"/>
                <c:pt idx="0">
                  <c:v>8730.14</c:v>
                </c:pt>
                <c:pt idx="1">
                  <c:v>3495.99</c:v>
                </c:pt>
                <c:pt idx="2">
                  <c:v>3141.37</c:v>
                </c:pt>
                <c:pt idx="3">
                  <c:v>1804.57</c:v>
                </c:pt>
                <c:pt idx="4">
                  <c:v>4024.66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E1-4C7F-99BC-6A08235763B1}"/>
            </c:ext>
          </c:extLst>
        </c:ser>
        <c:ser>
          <c:idx val="1"/>
          <c:order val="1"/>
          <c:tx>
            <c:strRef>
              <c:f>'Summary and Pivot Table'!$C$10:$C$11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'Summary and Pivot Table'!$A$12:$A$17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Groceries</c:v>
                </c:pt>
                <c:pt idx="4">
                  <c:v>Toys</c:v>
                </c:pt>
              </c:strCache>
            </c:strRef>
          </c:cat>
          <c:val>
            <c:numRef>
              <c:f>'Summary and Pivot Table'!$C$12:$C$17</c:f>
              <c:numCache>
                <c:formatCode>_-[$$-409]* #,##0.00_ ;_-[$$-409]* \-#,##0.00\ ;_-[$$-409]* "-"??_ ;_-@_ </c:formatCode>
                <c:ptCount val="5"/>
                <c:pt idx="0">
                  <c:v>2221.11</c:v>
                </c:pt>
                <c:pt idx="1">
                  <c:v>3450.42</c:v>
                </c:pt>
                <c:pt idx="2">
                  <c:v>2759.02</c:v>
                </c:pt>
                <c:pt idx="3">
                  <c:v>4422.8999999999996</c:v>
                </c:pt>
                <c:pt idx="4">
                  <c:v>7646.1900000000005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E1-4C7F-99BC-6A08235763B1}"/>
            </c:ext>
          </c:extLst>
        </c:ser>
        <c:ser>
          <c:idx val="2"/>
          <c:order val="2"/>
          <c:tx>
            <c:strRef>
              <c:f>'Summary and Pivot Table'!$D$10:$D$11</c:f>
              <c:strCache>
                <c:ptCount val="1"/>
                <c:pt idx="0">
                  <c:v>Unpaid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'Summary and Pivot Table'!$A$12:$A$17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Groceries</c:v>
                </c:pt>
                <c:pt idx="4">
                  <c:v>Toys</c:v>
                </c:pt>
              </c:strCache>
            </c:strRef>
          </c:cat>
          <c:val>
            <c:numRef>
              <c:f>'Summary and Pivot Table'!$D$12:$D$17</c:f>
              <c:numCache>
                <c:formatCode>_-[$$-409]* #,##0.00_ ;_-[$$-409]* \-#,##0.00\ ;_-[$$-409]* "-"??_ ;_-@_ </c:formatCode>
                <c:ptCount val="5"/>
                <c:pt idx="0">
                  <c:v>4225.91</c:v>
                </c:pt>
                <c:pt idx="1">
                  <c:v>5848.09</c:v>
                </c:pt>
                <c:pt idx="2">
                  <c:v>3795.5</c:v>
                </c:pt>
                <c:pt idx="3">
                  <c:v>1677.76</c:v>
                </c:pt>
                <c:pt idx="4">
                  <c:v>5021.6499999999996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E1-4C7F-99BC-6A0823576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4285216"/>
        <c:axId val="1084288096"/>
      </c:barChart>
      <c:catAx>
        <c:axId val="1084285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288096"/>
        <c:crosses val="autoZero"/>
        <c:auto val="1"/>
        <c:lblAlgn val="ctr"/>
        <c:lblOffset val="100"/>
        <c:noMultiLvlLbl val="0"/>
      </c:catAx>
      <c:valAx>
        <c:axId val="1084288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285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173690</xdr:colOff>
      <xdr:row>19</xdr:row>
      <xdr:rowOff>101973</xdr:rowOff>
    </xdr:from>
    <xdr:to>
      <xdr:col>9</xdr:col>
      <xdr:colOff>145675</xdr:colOff>
      <xdr:row>36</xdr:row>
      <xdr:rowOff>56029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0C550F-096D-3EC3-BEB9-5F7399CBFA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633133</xdr:colOff>
      <xdr:row>19</xdr:row>
      <xdr:rowOff>90767</xdr:rowOff>
    </xdr:from>
    <xdr:to>
      <xdr:col>5</xdr:col>
      <xdr:colOff>75031</xdr:colOff>
      <xdr:row>36</xdr:row>
      <xdr:rowOff>59927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8BDBFD-3AB5-3749-CE26-AC3E7542B7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muel" refreshedDate="45971.708674884256" createdVersion="8" refreshedVersion="8" minRefreshableVersion="3" recordCount="50" xr:uid="{C74CED64-86EF-4E93-B7FB-8EDCB8CB58EF}">
  <cacheSource type="worksheet">
    <worksheetSource name="Sheet1"/>
  </cacheSource>
  <cacheFields count="10">
    <cacheField name="Date" numFmtId="14">
      <sharedItems containsSemiMixedTypes="0" containsNonDate="0" containsDate="1" containsString="0" minDate="2024-01-07T00:00:00" maxDate="2024-10-27T00:00:00" count="43">
        <d v="2024-07-12T00:00:00"/>
        <d v="2024-02-28T00:00:00"/>
        <d v="2024-05-25T00:00:00"/>
        <d v="2024-08-19T00:00:00"/>
        <d v="2024-10-04T00:00:00"/>
        <d v="2024-06-07T00:00:00"/>
        <d v="2024-09-19T00:00:00"/>
        <d v="2024-01-31T00:00:00"/>
        <d v="2024-07-11T00:00:00"/>
        <d v="2024-04-08T00:00:00"/>
        <d v="2024-10-06T00:00:00"/>
        <d v="2024-09-21T00:00:00"/>
        <d v="2024-03-01T00:00:00"/>
        <d v="2024-09-03T00:00:00"/>
        <d v="2024-06-16T00:00:00"/>
        <d v="2024-02-05T00:00:00"/>
        <d v="2024-07-08T00:00:00"/>
        <d v="2024-03-03T00:00:00"/>
        <d v="2024-07-19T00:00:00"/>
        <d v="2024-10-26T00:00:00"/>
        <d v="2024-08-16T00:00:00"/>
        <d v="2024-02-25T00:00:00"/>
        <d v="2024-02-07T00:00:00"/>
        <d v="2024-02-27T00:00:00"/>
        <d v="2024-04-09T00:00:00"/>
        <d v="2024-01-07T00:00:00"/>
        <d v="2024-02-04T00:00:00"/>
        <d v="2024-09-22T00:00:00"/>
        <d v="2024-02-09T00:00:00"/>
        <d v="2024-07-06T00:00:00"/>
        <d v="2024-07-30T00:00:00"/>
        <d v="2024-06-25T00:00:00"/>
        <d v="2024-02-24T00:00:00"/>
        <d v="2024-10-20T00:00:00"/>
        <d v="2024-10-21T00:00:00"/>
        <d v="2024-08-09T00:00:00"/>
        <d v="2024-03-25T00:00:00"/>
        <d v="2024-06-12T00:00:00"/>
        <d v="2024-04-16T00:00:00"/>
        <d v="2024-04-15T00:00:00"/>
        <d v="2024-05-09T00:00:00"/>
        <d v="2024-06-03T00:00:00"/>
        <d v="2024-08-28T00:00:00"/>
      </sharedItems>
    </cacheField>
    <cacheField name="Customer" numFmtId="0">
      <sharedItems/>
    </cacheField>
    <cacheField name="Category" numFmtId="0">
      <sharedItems count="5">
        <s v="Groceries"/>
        <s v="Clothing"/>
        <s v="Toys"/>
        <s v="Electronics"/>
        <s v="Furniture"/>
      </sharedItems>
    </cacheField>
    <cacheField name="Amount" numFmtId="164">
      <sharedItems containsSemiMixedTypes="0" containsString="0" containsNumber="1" minValue="56.93" maxValue="2392.91"/>
    </cacheField>
    <cacheField name="Status" numFmtId="0">
      <sharedItems count="3">
        <s v="Pending"/>
        <s v="Unpaid"/>
        <s v="Paid"/>
      </sharedItems>
    </cacheField>
    <cacheField name="Notes" numFmtId="0">
      <sharedItems/>
    </cacheField>
    <cacheField name="Tax" numFmtId="164">
      <sharedItems containsSemiMixedTypes="0" containsString="0" containsNumber="1" minValue="4.5544000000000002" maxValue="191.43279999999999"/>
    </cacheField>
    <cacheField name="Net Amount" numFmtId="164">
      <sharedItems containsSemiMixedTypes="0" containsString="0" containsNumber="1" minValue="52.375599999999999" maxValue="2201.4771999999998"/>
    </cacheField>
    <cacheField name="Day of Week" numFmtId="164">
      <sharedItems/>
    </cacheField>
    <cacheField name="Value Tier" numFmtId="16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s v="Customer_1"/>
    <x v="0"/>
    <n v="855.16"/>
    <x v="0"/>
    <s v="Late delivery"/>
    <n v="68.412800000000004"/>
    <n v="786.74720000000002"/>
    <s v="Friday"/>
    <s v="Low Value"/>
  </r>
  <r>
    <x v="1"/>
    <s v="Customer_2"/>
    <x v="1"/>
    <n v="2104.94"/>
    <x v="1"/>
    <s v="Discount applied"/>
    <n v="168.39520000000002"/>
    <n v="1936.5448000000001"/>
    <s v="Wednesday"/>
    <s v="High Value"/>
  </r>
  <r>
    <x v="2"/>
    <s v="Customer_3"/>
    <x v="1"/>
    <n v="1612.8"/>
    <x v="1"/>
    <s v="Follow up"/>
    <n v="129.024"/>
    <n v="1483.7759999999998"/>
    <s v="Saturday"/>
    <s v="High Value"/>
  </r>
  <r>
    <x v="3"/>
    <s v="Customer_4"/>
    <x v="2"/>
    <n v="873.08"/>
    <x v="1"/>
    <s v="None"/>
    <n v="69.846400000000003"/>
    <n v="803.23360000000002"/>
    <s v="Monday"/>
    <s v="Low Value"/>
  </r>
  <r>
    <x v="4"/>
    <s v="Customer_5"/>
    <x v="3"/>
    <n v="909.99"/>
    <x v="1"/>
    <s v="Late delivery"/>
    <n v="72.799199999999999"/>
    <n v="837.19079999999997"/>
    <s v="Friday"/>
    <s v="Low Value"/>
  </r>
  <r>
    <x v="5"/>
    <s v="Customer_6"/>
    <x v="2"/>
    <n v="2120.73"/>
    <x v="2"/>
    <s v="Discount applied"/>
    <n v="169.6584"/>
    <n v="1951.0716"/>
    <s v="Friday"/>
    <s v="High Value"/>
  </r>
  <r>
    <x v="6"/>
    <s v="Customer_7"/>
    <x v="3"/>
    <n v="2214.35"/>
    <x v="1"/>
    <s v="Follow up"/>
    <n v="177.148"/>
    <n v="2037.202"/>
    <s v="Thursday"/>
    <s v="High Value"/>
  </r>
  <r>
    <x v="7"/>
    <s v="Customer_8"/>
    <x v="0"/>
    <n v="407.02"/>
    <x v="2"/>
    <s v="Discount applied"/>
    <n v="32.561599999999999"/>
    <n v="374.45839999999998"/>
    <s v="Wednesday"/>
    <s v="Low Value"/>
  </r>
  <r>
    <x v="8"/>
    <s v="Customer_9"/>
    <x v="3"/>
    <n v="1012.03"/>
    <x v="1"/>
    <s v="None"/>
    <n v="80.962400000000002"/>
    <n v="931.06759999999997"/>
    <s v="Thursday"/>
    <s v="High Value"/>
  </r>
  <r>
    <x v="9"/>
    <s v="Customer_10"/>
    <x v="1"/>
    <n v="451.24"/>
    <x v="1"/>
    <s v="Discount applied"/>
    <n v="36.099200000000003"/>
    <n v="415.14080000000001"/>
    <s v="Monday"/>
    <s v="Low Value"/>
  </r>
  <r>
    <x v="10"/>
    <s v="Customer_11"/>
    <x v="2"/>
    <n v="2099.0500000000002"/>
    <x v="0"/>
    <s v="None"/>
    <n v="167.92400000000001"/>
    <n v="1931.1260000000002"/>
    <s v="Sunday"/>
    <s v="High Value"/>
  </r>
  <r>
    <x v="11"/>
    <s v="Customer_12"/>
    <x v="4"/>
    <n v="377.31"/>
    <x v="0"/>
    <s v="None"/>
    <n v="30.184799999999999"/>
    <n v="347.12520000000001"/>
    <s v="Saturday"/>
    <s v="Low Value"/>
  </r>
  <r>
    <x v="12"/>
    <s v="Customer_13"/>
    <x v="1"/>
    <n v="595.91999999999996"/>
    <x v="2"/>
    <s v="None"/>
    <n v="47.6736"/>
    <n v="548.24639999999999"/>
    <s v="Friday"/>
    <s v="Low Value"/>
  </r>
  <r>
    <x v="13"/>
    <s v="Customer_14"/>
    <x v="1"/>
    <n v="673.57"/>
    <x v="0"/>
    <s v="Discount applied"/>
    <n v="53.885600000000004"/>
    <n v="619.6844000000001"/>
    <s v="Tuesday"/>
    <s v="Low Value"/>
  </r>
  <r>
    <x v="14"/>
    <s v="Customer_15"/>
    <x v="2"/>
    <n v="2106.62"/>
    <x v="1"/>
    <s v="None"/>
    <n v="168.52959999999999"/>
    <n v="1938.0903999999998"/>
    <s v="Sunday"/>
    <s v="High Value"/>
  </r>
  <r>
    <x v="15"/>
    <s v="Customer_16"/>
    <x v="2"/>
    <n v="1001.13"/>
    <x v="0"/>
    <s v="None"/>
    <n v="80.090400000000002"/>
    <n v="921.03959999999995"/>
    <s v="Monday"/>
    <s v="High Value"/>
  </r>
  <r>
    <x v="16"/>
    <s v="Customer_17"/>
    <x v="4"/>
    <n v="1402.59"/>
    <x v="1"/>
    <s v="Late delivery"/>
    <n v="112.2072"/>
    <n v="1290.3827999999999"/>
    <s v="Monday"/>
    <s v="High Value"/>
  </r>
  <r>
    <x v="17"/>
    <s v="Customer_18"/>
    <x v="3"/>
    <n v="1547.53"/>
    <x v="2"/>
    <s v="Late delivery"/>
    <n v="123.80240000000001"/>
    <n v="1423.7275999999999"/>
    <s v="Sunday"/>
    <s v="High Value"/>
  </r>
  <r>
    <x v="18"/>
    <s v="Customer_19"/>
    <x v="2"/>
    <n v="1903.93"/>
    <x v="2"/>
    <s v="None"/>
    <n v="152.31440000000001"/>
    <n v="1751.6156000000001"/>
    <s v="Friday"/>
    <s v="High Value"/>
  </r>
  <r>
    <x v="5"/>
    <s v="Customer_20"/>
    <x v="0"/>
    <n v="1397.55"/>
    <x v="2"/>
    <s v="None"/>
    <n v="111.804"/>
    <n v="1285.7459999999999"/>
    <s v="Friday"/>
    <s v="High Value"/>
  </r>
  <r>
    <x v="19"/>
    <s v="Customer_21"/>
    <x v="2"/>
    <n v="487.74"/>
    <x v="0"/>
    <s v="Late delivery"/>
    <n v="39.019200000000005"/>
    <n v="448.7208"/>
    <s v="Saturday"/>
    <s v="Low Value"/>
  </r>
  <r>
    <x v="20"/>
    <s v="Customer_22"/>
    <x v="0"/>
    <n v="960.34"/>
    <x v="1"/>
    <s v="Late delivery"/>
    <n v="76.827200000000005"/>
    <n v="883.51279999999997"/>
    <s v="Friday"/>
    <s v="Low Value"/>
  </r>
  <r>
    <x v="21"/>
    <s v="Customer_23"/>
    <x v="2"/>
    <n v="1732.5"/>
    <x v="0"/>
    <s v="Discount applied"/>
    <n v="138.6"/>
    <n v="1593.9"/>
    <s v="Sunday"/>
    <s v="High Value"/>
  </r>
  <r>
    <x v="22"/>
    <s v="Customer_24"/>
    <x v="3"/>
    <n v="1217.3800000000001"/>
    <x v="2"/>
    <s v="None"/>
    <n v="97.390400000000014"/>
    <n v="1119.9896000000001"/>
    <s v="Wednesday"/>
    <s v="High Value"/>
  </r>
  <r>
    <x v="23"/>
    <s v="Customer_25"/>
    <x v="4"/>
    <n v="1481.15"/>
    <x v="0"/>
    <s v="Discount applied"/>
    <n v="118.492"/>
    <n v="1362.6580000000001"/>
    <s v="Tuesday"/>
    <s v="High Value"/>
  </r>
  <r>
    <x v="24"/>
    <s v="Customer_26"/>
    <x v="0"/>
    <n v="1578.41"/>
    <x v="0"/>
    <s v="None"/>
    <n v="126.2728"/>
    <n v="1452.1372000000001"/>
    <s v="Tuesday"/>
    <s v="High Value"/>
  </r>
  <r>
    <x v="25"/>
    <s v="Customer_27"/>
    <x v="1"/>
    <n v="2139.41"/>
    <x v="2"/>
    <s v="None"/>
    <n v="171.15279999999998"/>
    <n v="1968.2571999999998"/>
    <s v="Sunday"/>
    <s v="High Value"/>
  </r>
  <r>
    <x v="26"/>
    <s v="Customer_28"/>
    <x v="1"/>
    <n v="1881.29"/>
    <x v="2"/>
    <s v="Late delivery"/>
    <n v="150.50319999999999"/>
    <n v="1730.7867999999999"/>
    <s v="Sunday"/>
    <s v="High Value"/>
  </r>
  <r>
    <x v="27"/>
    <s v="Customer_29"/>
    <x v="1"/>
    <n v="1202.02"/>
    <x v="0"/>
    <s v="Late delivery"/>
    <n v="96.161600000000007"/>
    <n v="1105.8584000000001"/>
    <s v="Sunday"/>
    <s v="High Value"/>
  </r>
  <r>
    <x v="28"/>
    <s v="Customer_30"/>
    <x v="4"/>
    <n v="822.68"/>
    <x v="2"/>
    <s v="Discount applied"/>
    <n v="65.814399999999992"/>
    <n v="756.86559999999997"/>
    <s v="Friday"/>
    <s v="Low Value"/>
  </r>
  <r>
    <x v="8"/>
    <s v="Customer_31"/>
    <x v="1"/>
    <n v="56.93"/>
    <x v="1"/>
    <s v="Follow up"/>
    <n v="4.5544000000000002"/>
    <n v="52.375599999999999"/>
    <s v="Thursday"/>
    <s v="Low Value"/>
  </r>
  <r>
    <x v="29"/>
    <s v="Customer_32"/>
    <x v="4"/>
    <n v="2392.91"/>
    <x v="1"/>
    <s v="Discount applied"/>
    <n v="191.43279999999999"/>
    <n v="2201.4771999999998"/>
    <s v="Saturday"/>
    <s v="High Value"/>
  </r>
  <r>
    <x v="30"/>
    <s v="Customer_33"/>
    <x v="2"/>
    <n v="61.91"/>
    <x v="1"/>
    <s v="Follow up"/>
    <n v="4.9527999999999999"/>
    <n v="56.9572"/>
    <s v="Tuesday"/>
    <s v="Low Value"/>
  </r>
  <r>
    <x v="31"/>
    <s v="Customer_34"/>
    <x v="3"/>
    <n v="1331.81"/>
    <x v="0"/>
    <s v="None"/>
    <n v="106.5448"/>
    <n v="1225.2652"/>
    <s v="Tuesday"/>
    <s v="High Value"/>
  </r>
  <r>
    <x v="32"/>
    <s v="Customer_35"/>
    <x v="4"/>
    <n v="188.33"/>
    <x v="2"/>
    <s v="None"/>
    <n v="15.066400000000002"/>
    <n v="173.2636"/>
    <s v="Saturday"/>
    <s v="Low Value"/>
  </r>
  <r>
    <x v="0"/>
    <s v="Customer_36"/>
    <x v="4"/>
    <n v="2130.36"/>
    <x v="2"/>
    <s v="Follow up"/>
    <n v="170.42880000000002"/>
    <n v="1959.9312"/>
    <s v="Friday"/>
    <s v="High Value"/>
  </r>
  <r>
    <x v="33"/>
    <s v="Customer_37"/>
    <x v="1"/>
    <n v="345.52"/>
    <x v="0"/>
    <s v="Follow up"/>
    <n v="27.6416"/>
    <n v="317.8784"/>
    <s v="Sunday"/>
    <s v="Low Value"/>
  </r>
  <r>
    <x v="34"/>
    <s v="Customer_38"/>
    <x v="3"/>
    <n v="590.19000000000005"/>
    <x v="2"/>
    <s v="None"/>
    <n v="47.215200000000003"/>
    <n v="542.97480000000007"/>
    <s v="Monday"/>
    <s v="Low Value"/>
  </r>
  <r>
    <x v="35"/>
    <s v="Customer_39"/>
    <x v="1"/>
    <n v="2097.7199999999998"/>
    <x v="2"/>
    <s v="Late delivery"/>
    <n v="167.8176"/>
    <n v="1929.9023999999997"/>
    <s v="Friday"/>
    <s v="High Value"/>
  </r>
  <r>
    <x v="36"/>
    <s v="Customer_40"/>
    <x v="4"/>
    <n v="900.56"/>
    <x v="0"/>
    <s v="None"/>
    <n v="72.044799999999995"/>
    <n v="828.51519999999994"/>
    <s v="Monday"/>
    <s v="Low Value"/>
  </r>
  <r>
    <x v="19"/>
    <s v="Customer_41"/>
    <x v="2"/>
    <n v="712.72"/>
    <x v="1"/>
    <s v="Late delivery"/>
    <n v="57.017600000000002"/>
    <n v="655.70240000000001"/>
    <s v="Saturday"/>
    <s v="Low Value"/>
  </r>
  <r>
    <x v="37"/>
    <s v="Customer_42"/>
    <x v="1"/>
    <n v="1349.49"/>
    <x v="2"/>
    <s v="None"/>
    <n v="107.95920000000001"/>
    <n v="1241.5308"/>
    <s v="Wednesday"/>
    <s v="High Value"/>
  </r>
  <r>
    <x v="36"/>
    <s v="Customer_43"/>
    <x v="2"/>
    <n v="1267.32"/>
    <x v="1"/>
    <s v="None"/>
    <n v="101.3856"/>
    <n v="1165.9343999999999"/>
    <s v="Monday"/>
    <s v="High Value"/>
  </r>
  <r>
    <x v="9"/>
    <s v="Customer_44"/>
    <x v="1"/>
    <n v="666.31"/>
    <x v="2"/>
    <s v="None"/>
    <n v="53.3048"/>
    <n v="613.00519999999995"/>
    <s v="Monday"/>
    <s v="Low Value"/>
  </r>
  <r>
    <x v="38"/>
    <s v="Customer_45"/>
    <x v="3"/>
    <n v="1711.72"/>
    <x v="1"/>
    <s v="None"/>
    <n v="136.9376"/>
    <n v="1574.7824000000001"/>
    <s v="Tuesday"/>
    <s v="High Value"/>
  </r>
  <r>
    <x v="39"/>
    <s v="Customer_46"/>
    <x v="0"/>
    <n v="1989.33"/>
    <x v="0"/>
    <s v="Discount applied"/>
    <n v="159.1464"/>
    <n v="1830.1835999999998"/>
    <s v="Monday"/>
    <s v="High Value"/>
  </r>
  <r>
    <x v="14"/>
    <s v="Customer_47"/>
    <x v="2"/>
    <n v="2325.77"/>
    <x v="0"/>
    <s v="None"/>
    <n v="186.0616"/>
    <n v="2139.7084"/>
    <s v="Sunday"/>
    <s v="High Value"/>
  </r>
  <r>
    <x v="40"/>
    <s v="Customer_48"/>
    <x v="3"/>
    <n v="140.88999999999999"/>
    <x v="2"/>
    <s v="None"/>
    <n v="11.271199999999999"/>
    <n v="129.61879999999999"/>
    <s v="Thursday"/>
    <s v="Low Value"/>
  </r>
  <r>
    <x v="41"/>
    <s v="Customer_49"/>
    <x v="0"/>
    <n v="717.42"/>
    <x v="1"/>
    <s v="None"/>
    <n v="57.393599999999999"/>
    <n v="660.02639999999997"/>
    <s v="Monday"/>
    <s v="Low Value"/>
  </r>
  <r>
    <x v="42"/>
    <s v="Customer_50"/>
    <x v="3"/>
    <n v="2118.61"/>
    <x v="0"/>
    <s v="None"/>
    <n v="169.48880000000003"/>
    <n v="1949.1212"/>
    <s v="Wednesday"/>
    <s v="High Valu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60C282-0682-40CA-9DED-9CDD9FACD573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6" rowHeaderCaption="Category" colHeaderCaption="Status">
  <location ref="A10:E17" firstHeaderRow="1" firstDataRow="2" firstDataCol="1"/>
  <pivotFields count="10">
    <pivotField numFmtId="14" showAll="0"/>
    <pivotField showAll="0"/>
    <pivotField axis="axisRow" showAll="0">
      <items count="6">
        <item x="1"/>
        <item x="3"/>
        <item x="4"/>
        <item x="0"/>
        <item x="2"/>
        <item t="default"/>
      </items>
    </pivotField>
    <pivotField dataField="1" numFmtId="164" showAll="0"/>
    <pivotField axis="axisCol" showAll="0">
      <items count="4">
        <item x="2"/>
        <item x="0"/>
        <item x="1"/>
        <item t="default"/>
      </items>
    </pivotField>
    <pivotField showAll="0"/>
    <pivotField numFmtId="164" showAll="0"/>
    <pivotField numFmtId="164"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Total Amount by Category and Status" fld="3" baseField="0" baseItem="0" numFmtId="164"/>
  </dataFields>
  <chartFormats count="2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6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6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6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9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9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9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5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5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5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5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5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5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0DC0B89-5D2A-4B14-AA67-8A71CC2032B3}" autoFormatId="16" applyNumberFormats="0" applyBorderFormats="0" applyFontFormats="0" applyPatternFormats="0" applyAlignmentFormats="0" applyWidthHeightFormats="0">
  <queryTableRefresh nextId="14" unboundColumnsRight="4">
    <queryTableFields count="11">
      <queryTableField id="1" name="Date" tableColumnId="1"/>
      <queryTableField id="2" name="Customer" tableColumnId="2"/>
      <queryTableField id="3" name="Category" tableColumnId="3"/>
      <queryTableField id="4" name="Amount" tableColumnId="4"/>
      <queryTableField id="11" dataBound="0" tableColumnId="11"/>
      <queryTableField id="5" name="Status" tableColumnId="5"/>
      <queryTableField id="6" name="Notes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A708BF-B165-42B4-850A-3C23504EF365}" name="Sheet1" displayName="Sheet1" ref="A1:K51" tableType="queryTable" totalsRowShown="0">
  <autoFilter ref="A1:K51" xr:uid="{3FA708BF-B165-42B4-850A-3C23504EF365}"/>
  <tableColumns count="11">
    <tableColumn id="1" xr3:uid="{16F3137F-9D9E-41C2-A62C-F34CC0CBDD98}" uniqueName="1" name="Date" queryTableFieldId="1" dataDxfId="14"/>
    <tableColumn id="2" xr3:uid="{53F5B279-AD4B-4686-A52E-A7CC4D5B3B7B}" uniqueName="2" name="Customer" queryTableFieldId="2" dataDxfId="13"/>
    <tableColumn id="3" xr3:uid="{17485960-BD94-4975-A35B-B5379ADB2126}" uniqueName="3" name="Category" queryTableFieldId="3" dataDxfId="12"/>
    <tableColumn id="4" xr3:uid="{CD61181A-1F4C-40BD-9FF0-4A957DD41AAB}" uniqueName="4" name="Amount" queryTableFieldId="4" dataDxfId="11"/>
    <tableColumn id="11" xr3:uid="{27BC9EA7-F4C2-4A24-A66E-6C04577A4C85}" uniqueName="11" name="Tax Rate" queryTableFieldId="11" dataDxfId="10" dataCellStyle="Currency"/>
    <tableColumn id="5" xr3:uid="{409A0D76-A68E-4C6A-B9B7-33692D75ED37}" uniqueName="5" name="Status" queryTableFieldId="5" dataDxfId="9"/>
    <tableColumn id="6" xr3:uid="{4541B65E-A27E-4B3B-8540-D3AE3D9AE0A7}" uniqueName="6" name="Notes" queryTableFieldId="6" dataDxfId="8"/>
    <tableColumn id="7" xr3:uid="{E4B02B69-0568-4603-85EA-EBE4697F0ED0}" uniqueName="7" name="Tax" queryTableFieldId="7" dataDxfId="7">
      <calculatedColumnFormula>D2*$E$2</calculatedColumnFormula>
    </tableColumn>
    <tableColumn id="8" xr3:uid="{15E73A8D-248C-4C95-90D4-B6B84333ED52}" uniqueName="8" name="Net Amount" queryTableFieldId="8" dataDxfId="6">
      <calculatedColumnFormula>D2-H2</calculatedColumnFormula>
    </tableColumn>
    <tableColumn id="9" xr3:uid="{643D12D4-13C9-4E09-AD27-04F064356316}" uniqueName="9" name="Day of Week" queryTableFieldId="9" dataDxfId="5">
      <calculatedColumnFormula>TEXT(Sheet1[[#This Row],[Date]],"dddd")</calculatedColumnFormula>
    </tableColumn>
    <tableColumn id="10" xr3:uid="{D0457C6F-60AC-4465-9EA6-CA3F11ED5035}" uniqueName="10" name="Value Tier" queryTableFieldId="10" dataDxfId="4">
      <calculatedColumnFormula>IF(Sheet1[[#This Row],[Amount]]&gt;1000,"High Value","Low Value")</calculatedColumnFormula>
    </tableColumn>
  </tableColumns>
  <tableStyleInfo name="TableStyleMedium7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340A4-D277-4362-B201-D2C317B4A7D2}">
  <dimension ref="A1:K56"/>
  <sheetViews>
    <sheetView showGridLines="0" tabSelected="1" topLeftCell="A29" zoomScale="115" zoomScaleNormal="115" workbookViewId="0">
      <selection activeCell="L42" sqref="L42"/>
    </sheetView>
  </sheetViews>
  <sheetFormatPr defaultRowHeight="15" x14ac:dyDescent="0.25"/>
  <cols>
    <col min="1" max="1" width="16.85546875" bestFit="1" customWidth="1"/>
    <col min="2" max="2" width="12.28515625" bestFit="1" customWidth="1"/>
    <col min="3" max="3" width="11.42578125" bestFit="1" customWidth="1"/>
    <col min="4" max="4" width="10.28515625" bestFit="1" customWidth="1"/>
    <col min="5" max="5" width="18.85546875" bestFit="1" customWidth="1"/>
    <col min="6" max="6" width="19" bestFit="1" customWidth="1"/>
    <col min="7" max="7" width="16.140625" bestFit="1" customWidth="1"/>
    <col min="8" max="8" width="14" bestFit="1" customWidth="1"/>
    <col min="9" max="9" width="14.5703125" bestFit="1" customWidth="1"/>
    <col min="10" max="11" width="12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79</v>
      </c>
      <c r="F1" t="s">
        <v>4</v>
      </c>
      <c r="G1" t="s">
        <v>5</v>
      </c>
      <c r="H1" t="s">
        <v>68</v>
      </c>
      <c r="I1" t="s">
        <v>69</v>
      </c>
      <c r="J1" t="s">
        <v>70</v>
      </c>
      <c r="K1" t="s">
        <v>71</v>
      </c>
    </row>
    <row r="2" spans="1:11" x14ac:dyDescent="0.25">
      <c r="A2" s="6">
        <v>45485</v>
      </c>
      <c r="B2" s="5" t="s">
        <v>6</v>
      </c>
      <c r="C2" s="5" t="s">
        <v>7</v>
      </c>
      <c r="D2" s="7">
        <v>855.16</v>
      </c>
      <c r="E2" s="10">
        <v>0.08</v>
      </c>
      <c r="F2" s="5" t="s">
        <v>8</v>
      </c>
      <c r="G2" s="5" t="s">
        <v>9</v>
      </c>
      <c r="H2" s="7">
        <f t="shared" ref="H2:H33" si="0">D2*$E$2</f>
        <v>68.412800000000004</v>
      </c>
      <c r="I2" s="7">
        <f t="shared" ref="I2:I33" si="1">D2-H2</f>
        <v>786.74720000000002</v>
      </c>
      <c r="J2" s="7" t="str">
        <f>TEXT(Sheet1[[#This Row],[Date]],"dddd")</f>
        <v>Friday</v>
      </c>
      <c r="K2" s="7" t="str">
        <f>IF(Sheet1[[#This Row],[Amount]]&gt;1000,"High Value","Low Value")</f>
        <v>Low Value</v>
      </c>
    </row>
    <row r="3" spans="1:11" x14ac:dyDescent="0.25">
      <c r="A3" s="6">
        <v>45350</v>
      </c>
      <c r="B3" s="5" t="s">
        <v>10</v>
      </c>
      <c r="C3" s="5" t="s">
        <v>11</v>
      </c>
      <c r="D3" s="7">
        <v>2173.913043478261</v>
      </c>
      <c r="E3" s="10">
        <v>0.08</v>
      </c>
      <c r="F3" s="5" t="s">
        <v>12</v>
      </c>
      <c r="G3" s="5" t="s">
        <v>13</v>
      </c>
      <c r="H3" s="7">
        <f t="shared" si="0"/>
        <v>173.91304347826087</v>
      </c>
      <c r="I3" s="7">
        <f t="shared" si="1"/>
        <v>2000</v>
      </c>
      <c r="J3" s="7" t="str">
        <f>TEXT(Sheet1[[#This Row],[Date]],"dddd")</f>
        <v>Wednesday</v>
      </c>
      <c r="K3" s="7" t="str">
        <f>IF(Sheet1[[#This Row],[Amount]]&gt;1000,"High Value","Low Value")</f>
        <v>High Value</v>
      </c>
    </row>
    <row r="4" spans="1:11" x14ac:dyDescent="0.25">
      <c r="A4" s="6">
        <v>45437</v>
      </c>
      <c r="B4" s="5" t="s">
        <v>14</v>
      </c>
      <c r="C4" s="5" t="s">
        <v>11</v>
      </c>
      <c r="D4" s="7">
        <v>1612.8</v>
      </c>
      <c r="E4" s="10">
        <v>0.08</v>
      </c>
      <c r="F4" s="5" t="s">
        <v>12</v>
      </c>
      <c r="G4" s="5" t="s">
        <v>15</v>
      </c>
      <c r="H4" s="7">
        <f t="shared" si="0"/>
        <v>129.024</v>
      </c>
      <c r="I4" s="7">
        <f t="shared" si="1"/>
        <v>1483.7759999999998</v>
      </c>
      <c r="J4" s="7" t="str">
        <f>TEXT(Sheet1[[#This Row],[Date]],"dddd")</f>
        <v>Saturday</v>
      </c>
      <c r="K4" s="7" t="str">
        <f>IF(Sheet1[[#This Row],[Amount]]&gt;1000,"High Value","Low Value")</f>
        <v>High Value</v>
      </c>
    </row>
    <row r="5" spans="1:11" x14ac:dyDescent="0.25">
      <c r="A5" s="6">
        <v>45523</v>
      </c>
      <c r="B5" s="5" t="s">
        <v>16</v>
      </c>
      <c r="C5" s="5" t="s">
        <v>17</v>
      </c>
      <c r="D5" s="7">
        <v>873.08</v>
      </c>
      <c r="E5" s="10">
        <v>0.08</v>
      </c>
      <c r="F5" s="5" t="s">
        <v>12</v>
      </c>
      <c r="G5" s="5" t="s">
        <v>67</v>
      </c>
      <c r="H5" s="7">
        <f t="shared" si="0"/>
        <v>69.846400000000003</v>
      </c>
      <c r="I5" s="7">
        <f t="shared" si="1"/>
        <v>803.23360000000002</v>
      </c>
      <c r="J5" s="7" t="str">
        <f>TEXT(Sheet1[[#This Row],[Date]],"dddd")</f>
        <v>Monday</v>
      </c>
      <c r="K5" s="7" t="str">
        <f>IF(Sheet1[[#This Row],[Amount]]&gt;1000,"High Value","Low Value")</f>
        <v>Low Value</v>
      </c>
    </row>
    <row r="6" spans="1:11" x14ac:dyDescent="0.25">
      <c r="A6" s="6">
        <v>45569</v>
      </c>
      <c r="B6" s="5" t="s">
        <v>18</v>
      </c>
      <c r="C6" s="5" t="s">
        <v>19</v>
      </c>
      <c r="D6" s="7">
        <v>909.99</v>
      </c>
      <c r="E6" s="10">
        <v>0.08</v>
      </c>
      <c r="F6" s="5" t="s">
        <v>12</v>
      </c>
      <c r="G6" s="5" t="s">
        <v>9</v>
      </c>
      <c r="H6" s="7">
        <f t="shared" si="0"/>
        <v>72.799199999999999</v>
      </c>
      <c r="I6" s="7">
        <f t="shared" si="1"/>
        <v>837.19079999999997</v>
      </c>
      <c r="J6" s="7" t="str">
        <f>TEXT(Sheet1[[#This Row],[Date]],"dddd")</f>
        <v>Friday</v>
      </c>
      <c r="K6" s="7" t="str">
        <f>IF(Sheet1[[#This Row],[Amount]]&gt;1000,"High Value","Low Value")</f>
        <v>Low Value</v>
      </c>
    </row>
    <row r="7" spans="1:11" x14ac:dyDescent="0.25">
      <c r="A7" s="6">
        <v>45450</v>
      </c>
      <c r="B7" s="5" t="s">
        <v>20</v>
      </c>
      <c r="C7" s="5" t="s">
        <v>17</v>
      </c>
      <c r="D7" s="7">
        <v>2120.73</v>
      </c>
      <c r="E7" s="10">
        <v>0.08</v>
      </c>
      <c r="F7" s="5" t="s">
        <v>21</v>
      </c>
      <c r="G7" s="5" t="s">
        <v>13</v>
      </c>
      <c r="H7" s="7">
        <f t="shared" si="0"/>
        <v>169.6584</v>
      </c>
      <c r="I7" s="7">
        <f t="shared" si="1"/>
        <v>1951.0716</v>
      </c>
      <c r="J7" s="7" t="str">
        <f>TEXT(Sheet1[[#This Row],[Date]],"dddd")</f>
        <v>Friday</v>
      </c>
      <c r="K7" s="7" t="str">
        <f>IF(Sheet1[[#This Row],[Amount]]&gt;1000,"High Value","Low Value")</f>
        <v>High Value</v>
      </c>
    </row>
    <row r="8" spans="1:11" x14ac:dyDescent="0.25">
      <c r="A8" s="6">
        <v>45554</v>
      </c>
      <c r="B8" s="5" t="s">
        <v>22</v>
      </c>
      <c r="C8" s="5" t="s">
        <v>19</v>
      </c>
      <c r="D8" s="7">
        <v>2214.35</v>
      </c>
      <c r="E8" s="10">
        <v>0.08</v>
      </c>
      <c r="F8" s="5" t="s">
        <v>12</v>
      </c>
      <c r="G8" s="5" t="s">
        <v>15</v>
      </c>
      <c r="H8" s="7">
        <f t="shared" si="0"/>
        <v>177.148</v>
      </c>
      <c r="I8" s="7">
        <f t="shared" si="1"/>
        <v>2037.202</v>
      </c>
      <c r="J8" s="7" t="str">
        <f>TEXT(Sheet1[[#This Row],[Date]],"dddd")</f>
        <v>Thursday</v>
      </c>
      <c r="K8" s="7" t="str">
        <f>IF(Sheet1[[#This Row],[Amount]]&gt;1000,"High Value","Low Value")</f>
        <v>High Value</v>
      </c>
    </row>
    <row r="9" spans="1:11" x14ac:dyDescent="0.25">
      <c r="A9" s="6">
        <v>45322</v>
      </c>
      <c r="B9" s="5" t="s">
        <v>23</v>
      </c>
      <c r="C9" s="5" t="s">
        <v>7</v>
      </c>
      <c r="D9" s="7">
        <v>407.02</v>
      </c>
      <c r="E9" s="10">
        <v>0.08</v>
      </c>
      <c r="F9" s="5" t="s">
        <v>21</v>
      </c>
      <c r="G9" s="5" t="s">
        <v>13</v>
      </c>
      <c r="H9" s="7">
        <f t="shared" si="0"/>
        <v>32.561599999999999</v>
      </c>
      <c r="I9" s="7">
        <f t="shared" si="1"/>
        <v>374.45839999999998</v>
      </c>
      <c r="J9" s="7" t="str">
        <f>TEXT(Sheet1[[#This Row],[Date]],"dddd")</f>
        <v>Wednesday</v>
      </c>
      <c r="K9" s="7" t="str">
        <f>IF(Sheet1[[#This Row],[Amount]]&gt;1000,"High Value","Low Value")</f>
        <v>Low Value</v>
      </c>
    </row>
    <row r="10" spans="1:11" x14ac:dyDescent="0.25">
      <c r="A10" s="6">
        <v>45484</v>
      </c>
      <c r="B10" s="5" t="s">
        <v>24</v>
      </c>
      <c r="C10" s="5" t="s">
        <v>19</v>
      </c>
      <c r="D10" s="7">
        <v>1012.03</v>
      </c>
      <c r="E10" s="10">
        <v>0.08</v>
      </c>
      <c r="F10" s="5" t="s">
        <v>12</v>
      </c>
      <c r="G10" s="5" t="s">
        <v>67</v>
      </c>
      <c r="H10" s="7">
        <f t="shared" si="0"/>
        <v>80.962400000000002</v>
      </c>
      <c r="I10" s="7">
        <f t="shared" si="1"/>
        <v>931.06759999999997</v>
      </c>
      <c r="J10" s="7" t="str">
        <f>TEXT(Sheet1[[#This Row],[Date]],"dddd")</f>
        <v>Thursday</v>
      </c>
      <c r="K10" s="7" t="str">
        <f>IF(Sheet1[[#This Row],[Amount]]&gt;1000,"High Value","Low Value")</f>
        <v>High Value</v>
      </c>
    </row>
    <row r="11" spans="1:11" x14ac:dyDescent="0.25">
      <c r="A11" s="6">
        <v>45390</v>
      </c>
      <c r="B11" s="5" t="s">
        <v>25</v>
      </c>
      <c r="C11" s="5" t="s">
        <v>11</v>
      </c>
      <c r="D11" s="7">
        <v>451.24</v>
      </c>
      <c r="E11" s="10">
        <v>0.08</v>
      </c>
      <c r="F11" s="5" t="s">
        <v>12</v>
      </c>
      <c r="G11" s="5" t="s">
        <v>13</v>
      </c>
      <c r="H11" s="7">
        <f t="shared" si="0"/>
        <v>36.099200000000003</v>
      </c>
      <c r="I11" s="7">
        <f t="shared" si="1"/>
        <v>415.14080000000001</v>
      </c>
      <c r="J11" s="7" t="str">
        <f>TEXT(Sheet1[[#This Row],[Date]],"dddd")</f>
        <v>Monday</v>
      </c>
      <c r="K11" s="7" t="str">
        <f>IF(Sheet1[[#This Row],[Amount]]&gt;1000,"High Value","Low Value")</f>
        <v>Low Value</v>
      </c>
    </row>
    <row r="12" spans="1:11" x14ac:dyDescent="0.25">
      <c r="A12" s="6">
        <v>45571</v>
      </c>
      <c r="B12" s="5" t="s">
        <v>26</v>
      </c>
      <c r="C12" s="5" t="s">
        <v>17</v>
      </c>
      <c r="D12" s="7">
        <v>2099.0500000000002</v>
      </c>
      <c r="E12" s="10">
        <v>0.08</v>
      </c>
      <c r="F12" s="5" t="s">
        <v>8</v>
      </c>
      <c r="G12" s="5" t="s">
        <v>67</v>
      </c>
      <c r="H12" s="7">
        <f t="shared" si="0"/>
        <v>167.92400000000001</v>
      </c>
      <c r="I12" s="7">
        <f t="shared" si="1"/>
        <v>1931.1260000000002</v>
      </c>
      <c r="J12" s="7" t="str">
        <f>TEXT(Sheet1[[#This Row],[Date]],"dddd")</f>
        <v>Sunday</v>
      </c>
      <c r="K12" s="7" t="str">
        <f>IF(Sheet1[[#This Row],[Amount]]&gt;1000,"High Value","Low Value")</f>
        <v>High Value</v>
      </c>
    </row>
    <row r="13" spans="1:11" x14ac:dyDescent="0.25">
      <c r="A13" s="6">
        <v>45556</v>
      </c>
      <c r="B13" s="5" t="s">
        <v>27</v>
      </c>
      <c r="C13" s="5" t="s">
        <v>28</v>
      </c>
      <c r="D13" s="7">
        <v>377.31</v>
      </c>
      <c r="E13" s="10">
        <v>0.08</v>
      </c>
      <c r="F13" s="5" t="s">
        <v>8</v>
      </c>
      <c r="G13" s="5" t="s">
        <v>67</v>
      </c>
      <c r="H13" s="7">
        <f t="shared" si="0"/>
        <v>30.184799999999999</v>
      </c>
      <c r="I13" s="7">
        <f t="shared" si="1"/>
        <v>347.12520000000001</v>
      </c>
      <c r="J13" s="7" t="str">
        <f>TEXT(Sheet1[[#This Row],[Date]],"dddd")</f>
        <v>Saturday</v>
      </c>
      <c r="K13" s="7" t="str">
        <f>IF(Sheet1[[#This Row],[Amount]]&gt;1000,"High Value","Low Value")</f>
        <v>Low Value</v>
      </c>
    </row>
    <row r="14" spans="1:11" x14ac:dyDescent="0.25">
      <c r="A14" s="6">
        <v>45352</v>
      </c>
      <c r="B14" s="5" t="s">
        <v>29</v>
      </c>
      <c r="C14" s="5" t="s">
        <v>11</v>
      </c>
      <c r="D14" s="7">
        <v>595.91999999999996</v>
      </c>
      <c r="E14" s="10">
        <v>0.08</v>
      </c>
      <c r="F14" s="5" t="s">
        <v>21</v>
      </c>
      <c r="G14" s="5" t="s">
        <v>67</v>
      </c>
      <c r="H14" s="7">
        <f t="shared" si="0"/>
        <v>47.6736</v>
      </c>
      <c r="I14" s="7">
        <f t="shared" si="1"/>
        <v>548.24639999999999</v>
      </c>
      <c r="J14" s="7" t="str">
        <f>TEXT(Sheet1[[#This Row],[Date]],"dddd")</f>
        <v>Friday</v>
      </c>
      <c r="K14" s="7" t="str">
        <f>IF(Sheet1[[#This Row],[Amount]]&gt;1000,"High Value","Low Value")</f>
        <v>Low Value</v>
      </c>
    </row>
    <row r="15" spans="1:11" x14ac:dyDescent="0.25">
      <c r="A15" s="6">
        <v>45538</v>
      </c>
      <c r="B15" s="5" t="s">
        <v>30</v>
      </c>
      <c r="C15" s="5" t="s">
        <v>11</v>
      </c>
      <c r="D15" s="7">
        <v>673.57</v>
      </c>
      <c r="E15" s="10">
        <v>0.08</v>
      </c>
      <c r="F15" s="5" t="s">
        <v>8</v>
      </c>
      <c r="G15" s="5" t="s">
        <v>13</v>
      </c>
      <c r="H15" s="7">
        <f t="shared" si="0"/>
        <v>53.885600000000004</v>
      </c>
      <c r="I15" s="7">
        <f t="shared" si="1"/>
        <v>619.6844000000001</v>
      </c>
      <c r="J15" s="7" t="str">
        <f>TEXT(Sheet1[[#This Row],[Date]],"dddd")</f>
        <v>Tuesday</v>
      </c>
      <c r="K15" s="7" t="str">
        <f>IF(Sheet1[[#This Row],[Amount]]&gt;1000,"High Value","Low Value")</f>
        <v>Low Value</v>
      </c>
    </row>
    <row r="16" spans="1:11" x14ac:dyDescent="0.25">
      <c r="A16" s="6">
        <v>45459</v>
      </c>
      <c r="B16" s="5" t="s">
        <v>31</v>
      </c>
      <c r="C16" s="5" t="s">
        <v>17</v>
      </c>
      <c r="D16" s="7">
        <v>2106.62</v>
      </c>
      <c r="E16" s="10">
        <v>0.08</v>
      </c>
      <c r="F16" s="5" t="s">
        <v>12</v>
      </c>
      <c r="G16" s="5" t="s">
        <v>67</v>
      </c>
      <c r="H16" s="7">
        <f t="shared" si="0"/>
        <v>168.52959999999999</v>
      </c>
      <c r="I16" s="7">
        <f t="shared" si="1"/>
        <v>1938.0903999999998</v>
      </c>
      <c r="J16" s="7" t="str">
        <f>TEXT(Sheet1[[#This Row],[Date]],"dddd")</f>
        <v>Sunday</v>
      </c>
      <c r="K16" s="7" t="str">
        <f>IF(Sheet1[[#This Row],[Amount]]&gt;1000,"High Value","Low Value")</f>
        <v>High Value</v>
      </c>
    </row>
    <row r="17" spans="1:11" x14ac:dyDescent="0.25">
      <c r="A17" s="6">
        <v>45327</v>
      </c>
      <c r="B17" s="5" t="s">
        <v>32</v>
      </c>
      <c r="C17" s="5" t="s">
        <v>17</v>
      </c>
      <c r="D17" s="7">
        <v>1001.13</v>
      </c>
      <c r="E17" s="10">
        <v>0.08</v>
      </c>
      <c r="F17" s="5" t="s">
        <v>8</v>
      </c>
      <c r="G17" s="5" t="s">
        <v>67</v>
      </c>
      <c r="H17" s="7">
        <f t="shared" si="0"/>
        <v>80.090400000000002</v>
      </c>
      <c r="I17" s="7">
        <f t="shared" si="1"/>
        <v>921.03959999999995</v>
      </c>
      <c r="J17" s="7" t="str">
        <f>TEXT(Sheet1[[#This Row],[Date]],"dddd")</f>
        <v>Monday</v>
      </c>
      <c r="K17" s="7" t="str">
        <f>IF(Sheet1[[#This Row],[Amount]]&gt;1000,"High Value","Low Value")</f>
        <v>High Value</v>
      </c>
    </row>
    <row r="18" spans="1:11" x14ac:dyDescent="0.25">
      <c r="A18" s="6">
        <v>45481</v>
      </c>
      <c r="B18" s="5" t="s">
        <v>33</v>
      </c>
      <c r="C18" s="5" t="s">
        <v>28</v>
      </c>
      <c r="D18" s="7">
        <v>1402.59</v>
      </c>
      <c r="E18" s="10">
        <v>0.08</v>
      </c>
      <c r="F18" s="5" t="s">
        <v>12</v>
      </c>
      <c r="G18" s="5" t="s">
        <v>9</v>
      </c>
      <c r="H18" s="7">
        <f t="shared" si="0"/>
        <v>112.2072</v>
      </c>
      <c r="I18" s="7">
        <f t="shared" si="1"/>
        <v>1290.3827999999999</v>
      </c>
      <c r="J18" s="7" t="str">
        <f>TEXT(Sheet1[[#This Row],[Date]],"dddd")</f>
        <v>Monday</v>
      </c>
      <c r="K18" s="7" t="str">
        <f>IF(Sheet1[[#This Row],[Amount]]&gt;1000,"High Value","Low Value")</f>
        <v>High Value</v>
      </c>
    </row>
    <row r="19" spans="1:11" x14ac:dyDescent="0.25">
      <c r="A19" s="6">
        <v>45354</v>
      </c>
      <c r="B19" s="5" t="s">
        <v>34</v>
      </c>
      <c r="C19" s="5" t="s">
        <v>19</v>
      </c>
      <c r="D19" s="7">
        <v>1547.53</v>
      </c>
      <c r="E19" s="10">
        <v>0.08</v>
      </c>
      <c r="F19" s="5" t="s">
        <v>21</v>
      </c>
      <c r="G19" s="5" t="s">
        <v>9</v>
      </c>
      <c r="H19" s="7">
        <f t="shared" si="0"/>
        <v>123.80240000000001</v>
      </c>
      <c r="I19" s="7">
        <f t="shared" si="1"/>
        <v>1423.7275999999999</v>
      </c>
      <c r="J19" s="7" t="str">
        <f>TEXT(Sheet1[[#This Row],[Date]],"dddd")</f>
        <v>Sunday</v>
      </c>
      <c r="K19" s="7" t="str">
        <f>IF(Sheet1[[#This Row],[Amount]]&gt;1000,"High Value","Low Value")</f>
        <v>High Value</v>
      </c>
    </row>
    <row r="20" spans="1:11" x14ac:dyDescent="0.25">
      <c r="A20" s="6">
        <v>45492</v>
      </c>
      <c r="B20" s="5" t="s">
        <v>35</v>
      </c>
      <c r="C20" s="5" t="s">
        <v>17</v>
      </c>
      <c r="D20" s="7">
        <v>1903.93</v>
      </c>
      <c r="E20" s="10">
        <v>0.08</v>
      </c>
      <c r="F20" s="5" t="s">
        <v>21</v>
      </c>
      <c r="G20" s="5" t="s">
        <v>67</v>
      </c>
      <c r="H20" s="7">
        <f t="shared" si="0"/>
        <v>152.31440000000001</v>
      </c>
      <c r="I20" s="7">
        <f t="shared" si="1"/>
        <v>1751.6156000000001</v>
      </c>
      <c r="J20" s="7" t="str">
        <f>TEXT(Sheet1[[#This Row],[Date]],"dddd")</f>
        <v>Friday</v>
      </c>
      <c r="K20" s="7" t="str">
        <f>IF(Sheet1[[#This Row],[Amount]]&gt;1000,"High Value","Low Value")</f>
        <v>High Value</v>
      </c>
    </row>
    <row r="21" spans="1:11" x14ac:dyDescent="0.25">
      <c r="A21" s="6">
        <v>45450</v>
      </c>
      <c r="B21" s="5" t="s">
        <v>36</v>
      </c>
      <c r="C21" s="5" t="s">
        <v>7</v>
      </c>
      <c r="D21" s="7">
        <v>1397.55</v>
      </c>
      <c r="E21" s="10">
        <v>0.08</v>
      </c>
      <c r="F21" s="5" t="s">
        <v>21</v>
      </c>
      <c r="G21" s="5" t="s">
        <v>67</v>
      </c>
      <c r="H21" s="7">
        <f t="shared" si="0"/>
        <v>111.804</v>
      </c>
      <c r="I21" s="7">
        <f t="shared" si="1"/>
        <v>1285.7459999999999</v>
      </c>
      <c r="J21" s="7" t="str">
        <f>TEXT(Sheet1[[#This Row],[Date]],"dddd")</f>
        <v>Friday</v>
      </c>
      <c r="K21" s="7" t="str">
        <f>IF(Sheet1[[#This Row],[Amount]]&gt;1000,"High Value","Low Value")</f>
        <v>High Value</v>
      </c>
    </row>
    <row r="22" spans="1:11" x14ac:dyDescent="0.25">
      <c r="A22" s="6">
        <v>45591</v>
      </c>
      <c r="B22" s="5" t="s">
        <v>37</v>
      </c>
      <c r="C22" s="5" t="s">
        <v>17</v>
      </c>
      <c r="D22" s="7">
        <v>487.74</v>
      </c>
      <c r="E22" s="10">
        <v>0.08</v>
      </c>
      <c r="F22" s="5" t="s">
        <v>8</v>
      </c>
      <c r="G22" s="5" t="s">
        <v>9</v>
      </c>
      <c r="H22" s="7">
        <f t="shared" si="0"/>
        <v>39.019200000000005</v>
      </c>
      <c r="I22" s="7">
        <f t="shared" si="1"/>
        <v>448.7208</v>
      </c>
      <c r="J22" s="7" t="str">
        <f>TEXT(Sheet1[[#This Row],[Date]],"dddd")</f>
        <v>Saturday</v>
      </c>
      <c r="K22" s="7" t="str">
        <f>IF(Sheet1[[#This Row],[Amount]]&gt;1000,"High Value","Low Value")</f>
        <v>Low Value</v>
      </c>
    </row>
    <row r="23" spans="1:11" x14ac:dyDescent="0.25">
      <c r="A23" s="6">
        <v>45520</v>
      </c>
      <c r="B23" s="5" t="s">
        <v>38</v>
      </c>
      <c r="C23" s="5" t="s">
        <v>7</v>
      </c>
      <c r="D23" s="7">
        <v>960.34</v>
      </c>
      <c r="E23" s="10">
        <v>0.08</v>
      </c>
      <c r="F23" s="5" t="s">
        <v>12</v>
      </c>
      <c r="G23" s="5" t="s">
        <v>9</v>
      </c>
      <c r="H23" s="7">
        <f t="shared" si="0"/>
        <v>76.827200000000005</v>
      </c>
      <c r="I23" s="7">
        <f t="shared" si="1"/>
        <v>883.51279999999997</v>
      </c>
      <c r="J23" s="7" t="str">
        <f>TEXT(Sheet1[[#This Row],[Date]],"dddd")</f>
        <v>Friday</v>
      </c>
      <c r="K23" s="7" t="str">
        <f>IF(Sheet1[[#This Row],[Amount]]&gt;1000,"High Value","Low Value")</f>
        <v>Low Value</v>
      </c>
    </row>
    <row r="24" spans="1:11" x14ac:dyDescent="0.25">
      <c r="A24" s="6">
        <v>45347</v>
      </c>
      <c r="B24" s="5" t="s">
        <v>39</v>
      </c>
      <c r="C24" s="5" t="s">
        <v>17</v>
      </c>
      <c r="D24" s="7">
        <v>1732.5</v>
      </c>
      <c r="E24" s="10">
        <v>0.08</v>
      </c>
      <c r="F24" s="5" t="s">
        <v>8</v>
      </c>
      <c r="G24" s="5" t="s">
        <v>13</v>
      </c>
      <c r="H24" s="7">
        <f t="shared" si="0"/>
        <v>138.6</v>
      </c>
      <c r="I24" s="7">
        <f t="shared" si="1"/>
        <v>1593.9</v>
      </c>
      <c r="J24" s="7" t="str">
        <f>TEXT(Sheet1[[#This Row],[Date]],"dddd")</f>
        <v>Sunday</v>
      </c>
      <c r="K24" s="7" t="str">
        <f>IF(Sheet1[[#This Row],[Amount]]&gt;1000,"High Value","Low Value")</f>
        <v>High Value</v>
      </c>
    </row>
    <row r="25" spans="1:11" x14ac:dyDescent="0.25">
      <c r="A25" s="6">
        <v>45329</v>
      </c>
      <c r="B25" s="5" t="s">
        <v>40</v>
      </c>
      <c r="C25" s="5" t="s">
        <v>19</v>
      </c>
      <c r="D25" s="7">
        <v>1217.3800000000001</v>
      </c>
      <c r="E25" s="10">
        <v>0.08</v>
      </c>
      <c r="F25" s="5" t="s">
        <v>21</v>
      </c>
      <c r="G25" s="5" t="s">
        <v>67</v>
      </c>
      <c r="H25" s="7">
        <f t="shared" si="0"/>
        <v>97.390400000000014</v>
      </c>
      <c r="I25" s="7">
        <f t="shared" si="1"/>
        <v>1119.9896000000001</v>
      </c>
      <c r="J25" s="7" t="str">
        <f>TEXT(Sheet1[[#This Row],[Date]],"dddd")</f>
        <v>Wednesday</v>
      </c>
      <c r="K25" s="7" t="str">
        <f>IF(Sheet1[[#This Row],[Amount]]&gt;1000,"High Value","Low Value")</f>
        <v>High Value</v>
      </c>
    </row>
    <row r="26" spans="1:11" x14ac:dyDescent="0.25">
      <c r="A26" s="6">
        <v>45349</v>
      </c>
      <c r="B26" s="5" t="s">
        <v>41</v>
      </c>
      <c r="C26" s="5" t="s">
        <v>28</v>
      </c>
      <c r="D26" s="7">
        <v>1481.15</v>
      </c>
      <c r="E26" s="10">
        <v>0.08</v>
      </c>
      <c r="F26" s="5" t="s">
        <v>8</v>
      </c>
      <c r="G26" s="5" t="s">
        <v>13</v>
      </c>
      <c r="H26" s="7">
        <f t="shared" si="0"/>
        <v>118.492</v>
      </c>
      <c r="I26" s="7">
        <f t="shared" si="1"/>
        <v>1362.6580000000001</v>
      </c>
      <c r="J26" s="7" t="str">
        <f>TEXT(Sheet1[[#This Row],[Date]],"dddd")</f>
        <v>Tuesday</v>
      </c>
      <c r="K26" s="7" t="str">
        <f>IF(Sheet1[[#This Row],[Amount]]&gt;1000,"High Value","Low Value")</f>
        <v>High Value</v>
      </c>
    </row>
    <row r="27" spans="1:11" x14ac:dyDescent="0.25">
      <c r="A27" s="6">
        <v>45391</v>
      </c>
      <c r="B27" s="5" t="s">
        <v>42</v>
      </c>
      <c r="C27" s="5" t="s">
        <v>7</v>
      </c>
      <c r="D27" s="7">
        <v>1578.41</v>
      </c>
      <c r="E27" s="10">
        <v>0.08</v>
      </c>
      <c r="F27" s="5" t="s">
        <v>8</v>
      </c>
      <c r="G27" s="5" t="s">
        <v>67</v>
      </c>
      <c r="H27" s="7">
        <f t="shared" si="0"/>
        <v>126.2728</v>
      </c>
      <c r="I27" s="7">
        <f t="shared" si="1"/>
        <v>1452.1372000000001</v>
      </c>
      <c r="J27" s="7" t="str">
        <f>TEXT(Sheet1[[#This Row],[Date]],"dddd")</f>
        <v>Tuesday</v>
      </c>
      <c r="K27" s="7" t="str">
        <f>IF(Sheet1[[#This Row],[Amount]]&gt;1000,"High Value","Low Value")</f>
        <v>High Value</v>
      </c>
    </row>
    <row r="28" spans="1:11" x14ac:dyDescent="0.25">
      <c r="A28" s="6">
        <v>45298</v>
      </c>
      <c r="B28" s="5" t="s">
        <v>43</v>
      </c>
      <c r="C28" s="5" t="s">
        <v>11</v>
      </c>
      <c r="D28" s="7">
        <v>2139.41</v>
      </c>
      <c r="E28" s="10">
        <v>0.08</v>
      </c>
      <c r="F28" s="5" t="s">
        <v>21</v>
      </c>
      <c r="G28" s="5" t="s">
        <v>67</v>
      </c>
      <c r="H28" s="7">
        <f t="shared" si="0"/>
        <v>171.15279999999998</v>
      </c>
      <c r="I28" s="7">
        <f t="shared" si="1"/>
        <v>1968.2571999999998</v>
      </c>
      <c r="J28" s="7" t="str">
        <f>TEXT(Sheet1[[#This Row],[Date]],"dddd")</f>
        <v>Sunday</v>
      </c>
      <c r="K28" s="7" t="str">
        <f>IF(Sheet1[[#This Row],[Amount]]&gt;1000,"High Value","Low Value")</f>
        <v>High Value</v>
      </c>
    </row>
    <row r="29" spans="1:11" x14ac:dyDescent="0.25">
      <c r="A29" s="6">
        <v>45326</v>
      </c>
      <c r="B29" s="5" t="s">
        <v>44</v>
      </c>
      <c r="C29" s="5" t="s">
        <v>11</v>
      </c>
      <c r="D29" s="7">
        <v>1881.29</v>
      </c>
      <c r="E29" s="10">
        <v>0.08</v>
      </c>
      <c r="F29" s="5" t="s">
        <v>21</v>
      </c>
      <c r="G29" s="5" t="s">
        <v>9</v>
      </c>
      <c r="H29" s="7">
        <f t="shared" si="0"/>
        <v>150.50319999999999</v>
      </c>
      <c r="I29" s="7">
        <f t="shared" si="1"/>
        <v>1730.7867999999999</v>
      </c>
      <c r="J29" s="7" t="str">
        <f>TEXT(Sheet1[[#This Row],[Date]],"dddd")</f>
        <v>Sunday</v>
      </c>
      <c r="K29" s="7" t="str">
        <f>IF(Sheet1[[#This Row],[Amount]]&gt;1000,"High Value","Low Value")</f>
        <v>High Value</v>
      </c>
    </row>
    <row r="30" spans="1:11" x14ac:dyDescent="0.25">
      <c r="A30" s="6">
        <v>45557</v>
      </c>
      <c r="B30" s="5" t="s">
        <v>45</v>
      </c>
      <c r="C30" s="5" t="s">
        <v>11</v>
      </c>
      <c r="D30" s="7">
        <v>1202.02</v>
      </c>
      <c r="E30" s="10">
        <v>0.08</v>
      </c>
      <c r="F30" s="5" t="s">
        <v>8</v>
      </c>
      <c r="G30" s="5" t="s">
        <v>9</v>
      </c>
      <c r="H30" s="7">
        <f t="shared" si="0"/>
        <v>96.161600000000007</v>
      </c>
      <c r="I30" s="7">
        <f t="shared" si="1"/>
        <v>1105.8584000000001</v>
      </c>
      <c r="J30" s="7" t="str">
        <f>TEXT(Sheet1[[#This Row],[Date]],"dddd")</f>
        <v>Sunday</v>
      </c>
      <c r="K30" s="7" t="str">
        <f>IF(Sheet1[[#This Row],[Amount]]&gt;1000,"High Value","Low Value")</f>
        <v>High Value</v>
      </c>
    </row>
    <row r="31" spans="1:11" x14ac:dyDescent="0.25">
      <c r="A31" s="6">
        <v>45331</v>
      </c>
      <c r="B31" s="5" t="s">
        <v>46</v>
      </c>
      <c r="C31" s="5" t="s">
        <v>28</v>
      </c>
      <c r="D31" s="7">
        <v>822.68</v>
      </c>
      <c r="E31" s="10">
        <v>0.08</v>
      </c>
      <c r="F31" s="5" t="s">
        <v>21</v>
      </c>
      <c r="G31" s="5" t="s">
        <v>13</v>
      </c>
      <c r="H31" s="7">
        <f t="shared" si="0"/>
        <v>65.814399999999992</v>
      </c>
      <c r="I31" s="7">
        <f t="shared" si="1"/>
        <v>756.86559999999997</v>
      </c>
      <c r="J31" s="7" t="str">
        <f>TEXT(Sheet1[[#This Row],[Date]],"dddd")</f>
        <v>Friday</v>
      </c>
      <c r="K31" s="7" t="str">
        <f>IF(Sheet1[[#This Row],[Amount]]&gt;1000,"High Value","Low Value")</f>
        <v>Low Value</v>
      </c>
    </row>
    <row r="32" spans="1:11" x14ac:dyDescent="0.25">
      <c r="A32" s="6">
        <v>45484</v>
      </c>
      <c r="B32" s="5" t="s">
        <v>47</v>
      </c>
      <c r="C32" s="5" t="s">
        <v>11</v>
      </c>
      <c r="D32" s="7">
        <v>56.93</v>
      </c>
      <c r="E32" s="10">
        <v>0.08</v>
      </c>
      <c r="F32" s="5" t="s">
        <v>12</v>
      </c>
      <c r="G32" s="5" t="s">
        <v>15</v>
      </c>
      <c r="H32" s="7">
        <f t="shared" si="0"/>
        <v>4.5544000000000002</v>
      </c>
      <c r="I32" s="7">
        <f t="shared" si="1"/>
        <v>52.375599999999999</v>
      </c>
      <c r="J32" s="7" t="str">
        <f>TEXT(Sheet1[[#This Row],[Date]],"dddd")</f>
        <v>Thursday</v>
      </c>
      <c r="K32" s="7" t="str">
        <f>IF(Sheet1[[#This Row],[Amount]]&gt;1000,"High Value","Low Value")</f>
        <v>Low Value</v>
      </c>
    </row>
    <row r="33" spans="1:11" x14ac:dyDescent="0.25">
      <c r="A33" s="6">
        <v>45479</v>
      </c>
      <c r="B33" s="5" t="s">
        <v>48</v>
      </c>
      <c r="C33" s="5" t="s">
        <v>28</v>
      </c>
      <c r="D33" s="7">
        <v>2392.91</v>
      </c>
      <c r="E33" s="10">
        <v>0.08</v>
      </c>
      <c r="F33" s="5" t="s">
        <v>12</v>
      </c>
      <c r="G33" s="5" t="s">
        <v>13</v>
      </c>
      <c r="H33" s="7">
        <f t="shared" si="0"/>
        <v>191.43279999999999</v>
      </c>
      <c r="I33" s="7">
        <f t="shared" si="1"/>
        <v>2201.4771999999998</v>
      </c>
      <c r="J33" s="7" t="str">
        <f>TEXT(Sheet1[[#This Row],[Date]],"dddd")</f>
        <v>Saturday</v>
      </c>
      <c r="K33" s="7" t="str">
        <f>IF(Sheet1[[#This Row],[Amount]]&gt;1000,"High Value","Low Value")</f>
        <v>High Value</v>
      </c>
    </row>
    <row r="34" spans="1:11" x14ac:dyDescent="0.25">
      <c r="A34" s="6">
        <v>45503</v>
      </c>
      <c r="B34" s="5" t="s">
        <v>49</v>
      </c>
      <c r="C34" s="5" t="s">
        <v>17</v>
      </c>
      <c r="D34" s="7">
        <v>61.91</v>
      </c>
      <c r="E34" s="10">
        <v>0.08</v>
      </c>
      <c r="F34" s="5" t="s">
        <v>12</v>
      </c>
      <c r="G34" s="5" t="s">
        <v>15</v>
      </c>
      <c r="H34" s="7">
        <f t="shared" ref="H34:H51" si="2">D34*$E$2</f>
        <v>4.9527999999999999</v>
      </c>
      <c r="I34" s="7">
        <f t="shared" ref="I34:I51" si="3">D34-H34</f>
        <v>56.9572</v>
      </c>
      <c r="J34" s="7" t="str">
        <f>TEXT(Sheet1[[#This Row],[Date]],"dddd")</f>
        <v>Tuesday</v>
      </c>
      <c r="K34" s="7" t="str">
        <f>IF(Sheet1[[#This Row],[Amount]]&gt;1000,"High Value","Low Value")</f>
        <v>Low Value</v>
      </c>
    </row>
    <row r="35" spans="1:11" x14ac:dyDescent="0.25">
      <c r="A35" s="6">
        <v>45468</v>
      </c>
      <c r="B35" s="5" t="s">
        <v>50</v>
      </c>
      <c r="C35" s="5" t="s">
        <v>19</v>
      </c>
      <c r="D35" s="7">
        <v>1331.81</v>
      </c>
      <c r="E35" s="10">
        <v>0.08</v>
      </c>
      <c r="F35" s="5" t="s">
        <v>8</v>
      </c>
      <c r="G35" s="5" t="s">
        <v>67</v>
      </c>
      <c r="H35" s="7">
        <f t="shared" si="2"/>
        <v>106.5448</v>
      </c>
      <c r="I35" s="7">
        <f t="shared" si="3"/>
        <v>1225.2652</v>
      </c>
      <c r="J35" s="7" t="str">
        <f>TEXT(Sheet1[[#This Row],[Date]],"dddd")</f>
        <v>Tuesday</v>
      </c>
      <c r="K35" s="7" t="str">
        <f>IF(Sheet1[[#This Row],[Amount]]&gt;1000,"High Value","Low Value")</f>
        <v>High Value</v>
      </c>
    </row>
    <row r="36" spans="1:11" x14ac:dyDescent="0.25">
      <c r="A36" s="6">
        <v>45346</v>
      </c>
      <c r="B36" s="5" t="s">
        <v>51</v>
      </c>
      <c r="C36" s="5" t="s">
        <v>28</v>
      </c>
      <c r="D36" s="7">
        <v>188.33</v>
      </c>
      <c r="E36" s="10">
        <v>0.08</v>
      </c>
      <c r="F36" s="5" t="s">
        <v>21</v>
      </c>
      <c r="G36" s="5" t="s">
        <v>67</v>
      </c>
      <c r="H36" s="7">
        <f t="shared" si="2"/>
        <v>15.066400000000002</v>
      </c>
      <c r="I36" s="7">
        <f t="shared" si="3"/>
        <v>173.2636</v>
      </c>
      <c r="J36" s="7" t="str">
        <f>TEXT(Sheet1[[#This Row],[Date]],"dddd")</f>
        <v>Saturday</v>
      </c>
      <c r="K36" s="7" t="str">
        <f>IF(Sheet1[[#This Row],[Amount]]&gt;1000,"High Value","Low Value")</f>
        <v>Low Value</v>
      </c>
    </row>
    <row r="37" spans="1:11" x14ac:dyDescent="0.25">
      <c r="A37" s="6">
        <v>45485</v>
      </c>
      <c r="B37" s="5" t="s">
        <v>52</v>
      </c>
      <c r="C37" s="5" t="s">
        <v>28</v>
      </c>
      <c r="D37" s="7">
        <v>2130.36</v>
      </c>
      <c r="E37" s="10">
        <v>0.08</v>
      </c>
      <c r="F37" s="5" t="s">
        <v>21</v>
      </c>
      <c r="G37" s="5" t="s">
        <v>15</v>
      </c>
      <c r="H37" s="7">
        <f t="shared" si="2"/>
        <v>170.42880000000002</v>
      </c>
      <c r="I37" s="7">
        <f t="shared" si="3"/>
        <v>1959.9312</v>
      </c>
      <c r="J37" s="7" t="str">
        <f>TEXT(Sheet1[[#This Row],[Date]],"dddd")</f>
        <v>Friday</v>
      </c>
      <c r="K37" s="7" t="str">
        <f>IF(Sheet1[[#This Row],[Amount]]&gt;1000,"High Value","Low Value")</f>
        <v>High Value</v>
      </c>
    </row>
    <row r="38" spans="1:11" x14ac:dyDescent="0.25">
      <c r="A38" s="6">
        <v>45585</v>
      </c>
      <c r="B38" s="5" t="s">
        <v>53</v>
      </c>
      <c r="C38" s="5" t="s">
        <v>11</v>
      </c>
      <c r="D38" s="7">
        <v>345.52</v>
      </c>
      <c r="E38" s="10">
        <v>0.08</v>
      </c>
      <c r="F38" s="5" t="s">
        <v>8</v>
      </c>
      <c r="G38" s="5" t="s">
        <v>15</v>
      </c>
      <c r="H38" s="7">
        <f t="shared" si="2"/>
        <v>27.6416</v>
      </c>
      <c r="I38" s="7">
        <f t="shared" si="3"/>
        <v>317.8784</v>
      </c>
      <c r="J38" s="7" t="str">
        <f>TEXT(Sheet1[[#This Row],[Date]],"dddd")</f>
        <v>Sunday</v>
      </c>
      <c r="K38" s="7" t="str">
        <f>IF(Sheet1[[#This Row],[Amount]]&gt;1000,"High Value","Low Value")</f>
        <v>Low Value</v>
      </c>
    </row>
    <row r="39" spans="1:11" x14ac:dyDescent="0.25">
      <c r="A39" s="6">
        <v>45586</v>
      </c>
      <c r="B39" s="5" t="s">
        <v>54</v>
      </c>
      <c r="C39" s="5" t="s">
        <v>19</v>
      </c>
      <c r="D39" s="7">
        <v>590.19000000000005</v>
      </c>
      <c r="E39" s="10">
        <v>0.08</v>
      </c>
      <c r="F39" s="5" t="s">
        <v>21</v>
      </c>
      <c r="G39" s="5" t="s">
        <v>67</v>
      </c>
      <c r="H39" s="7">
        <f t="shared" si="2"/>
        <v>47.215200000000003</v>
      </c>
      <c r="I39" s="7">
        <f t="shared" si="3"/>
        <v>542.97480000000007</v>
      </c>
      <c r="J39" s="7" t="str">
        <f>TEXT(Sheet1[[#This Row],[Date]],"dddd")</f>
        <v>Monday</v>
      </c>
      <c r="K39" s="7" t="str">
        <f>IF(Sheet1[[#This Row],[Amount]]&gt;1000,"High Value","Low Value")</f>
        <v>Low Value</v>
      </c>
    </row>
    <row r="40" spans="1:11" x14ac:dyDescent="0.25">
      <c r="A40" s="6">
        <v>45513</v>
      </c>
      <c r="B40" s="5" t="s">
        <v>55</v>
      </c>
      <c r="C40" s="5" t="s">
        <v>11</v>
      </c>
      <c r="D40" s="7">
        <v>2097.7199999999998</v>
      </c>
      <c r="E40" s="10">
        <v>0.08</v>
      </c>
      <c r="F40" s="5" t="s">
        <v>21</v>
      </c>
      <c r="G40" s="5" t="s">
        <v>9</v>
      </c>
      <c r="H40" s="7">
        <f t="shared" si="2"/>
        <v>167.8176</v>
      </c>
      <c r="I40" s="7">
        <f t="shared" si="3"/>
        <v>1929.9023999999997</v>
      </c>
      <c r="J40" s="7" t="str">
        <f>TEXT(Sheet1[[#This Row],[Date]],"dddd")</f>
        <v>Friday</v>
      </c>
      <c r="K40" s="7" t="str">
        <f>IF(Sheet1[[#This Row],[Amount]]&gt;1000,"High Value","Low Value")</f>
        <v>High Value</v>
      </c>
    </row>
    <row r="41" spans="1:11" x14ac:dyDescent="0.25">
      <c r="A41" s="6">
        <v>45376</v>
      </c>
      <c r="B41" s="5" t="s">
        <v>56</v>
      </c>
      <c r="C41" s="5" t="s">
        <v>28</v>
      </c>
      <c r="D41" s="7">
        <v>900.56</v>
      </c>
      <c r="E41" s="10">
        <v>0.08</v>
      </c>
      <c r="F41" s="5" t="s">
        <v>8</v>
      </c>
      <c r="G41" s="5" t="s">
        <v>67</v>
      </c>
      <c r="H41" s="7">
        <f t="shared" si="2"/>
        <v>72.044799999999995</v>
      </c>
      <c r="I41" s="7">
        <f t="shared" si="3"/>
        <v>828.51519999999994</v>
      </c>
      <c r="J41" s="7" t="str">
        <f>TEXT(Sheet1[[#This Row],[Date]],"dddd")</f>
        <v>Monday</v>
      </c>
      <c r="K41" s="7" t="str">
        <f>IF(Sheet1[[#This Row],[Amount]]&gt;1000,"High Value","Low Value")</f>
        <v>Low Value</v>
      </c>
    </row>
    <row r="42" spans="1:11" x14ac:dyDescent="0.25">
      <c r="A42" s="6">
        <v>45591</v>
      </c>
      <c r="B42" s="5" t="s">
        <v>57</v>
      </c>
      <c r="C42" s="5" t="s">
        <v>17</v>
      </c>
      <c r="D42" s="7">
        <v>712.72</v>
      </c>
      <c r="E42" s="10">
        <v>0.08</v>
      </c>
      <c r="F42" s="5" t="s">
        <v>12</v>
      </c>
      <c r="G42" s="5" t="s">
        <v>9</v>
      </c>
      <c r="H42" s="7">
        <f t="shared" si="2"/>
        <v>57.017600000000002</v>
      </c>
      <c r="I42" s="7">
        <f t="shared" si="3"/>
        <v>655.70240000000001</v>
      </c>
      <c r="J42" s="7" t="str">
        <f>TEXT(Sheet1[[#This Row],[Date]],"dddd")</f>
        <v>Saturday</v>
      </c>
      <c r="K42" s="7" t="str">
        <f>IF(Sheet1[[#This Row],[Amount]]&gt;1000,"High Value","Low Value")</f>
        <v>Low Value</v>
      </c>
    </row>
    <row r="43" spans="1:11" x14ac:dyDescent="0.25">
      <c r="A43" s="6">
        <v>45455</v>
      </c>
      <c r="B43" s="5" t="s">
        <v>58</v>
      </c>
      <c r="C43" s="5" t="s">
        <v>11</v>
      </c>
      <c r="D43" s="7">
        <v>1349.49</v>
      </c>
      <c r="E43" s="10">
        <v>0.08</v>
      </c>
      <c r="F43" s="5" t="s">
        <v>21</v>
      </c>
      <c r="G43" s="5" t="s">
        <v>67</v>
      </c>
      <c r="H43" s="7">
        <f t="shared" si="2"/>
        <v>107.95920000000001</v>
      </c>
      <c r="I43" s="7">
        <f t="shared" si="3"/>
        <v>1241.5308</v>
      </c>
      <c r="J43" s="7" t="str">
        <f>TEXT(Sheet1[[#This Row],[Date]],"dddd")</f>
        <v>Wednesday</v>
      </c>
      <c r="K43" s="7" t="str">
        <f>IF(Sheet1[[#This Row],[Amount]]&gt;1000,"High Value","Low Value")</f>
        <v>High Value</v>
      </c>
    </row>
    <row r="44" spans="1:11" x14ac:dyDescent="0.25">
      <c r="A44" s="6">
        <v>45376</v>
      </c>
      <c r="B44" s="5" t="s">
        <v>59</v>
      </c>
      <c r="C44" s="5" t="s">
        <v>17</v>
      </c>
      <c r="D44" s="7">
        <v>1267.32</v>
      </c>
      <c r="E44" s="10">
        <v>0.08</v>
      </c>
      <c r="F44" s="5" t="s">
        <v>12</v>
      </c>
      <c r="G44" s="5" t="s">
        <v>67</v>
      </c>
      <c r="H44" s="7">
        <f t="shared" si="2"/>
        <v>101.3856</v>
      </c>
      <c r="I44" s="7">
        <f t="shared" si="3"/>
        <v>1165.9343999999999</v>
      </c>
      <c r="J44" s="7" t="str">
        <f>TEXT(Sheet1[[#This Row],[Date]],"dddd")</f>
        <v>Monday</v>
      </c>
      <c r="K44" s="7" t="str">
        <f>IF(Sheet1[[#This Row],[Amount]]&gt;1000,"High Value","Low Value")</f>
        <v>High Value</v>
      </c>
    </row>
    <row r="45" spans="1:11" x14ac:dyDescent="0.25">
      <c r="A45" s="6">
        <v>45390</v>
      </c>
      <c r="B45" s="5" t="s">
        <v>60</v>
      </c>
      <c r="C45" s="5" t="s">
        <v>11</v>
      </c>
      <c r="D45" s="7">
        <v>666.31</v>
      </c>
      <c r="E45" s="10">
        <v>0.08</v>
      </c>
      <c r="F45" s="5" t="s">
        <v>21</v>
      </c>
      <c r="G45" s="5" t="s">
        <v>67</v>
      </c>
      <c r="H45" s="7">
        <f t="shared" si="2"/>
        <v>53.3048</v>
      </c>
      <c r="I45" s="7">
        <f t="shared" si="3"/>
        <v>613.00519999999995</v>
      </c>
      <c r="J45" s="7" t="str">
        <f>TEXT(Sheet1[[#This Row],[Date]],"dddd")</f>
        <v>Monday</v>
      </c>
      <c r="K45" s="7" t="str">
        <f>IF(Sheet1[[#This Row],[Amount]]&gt;1000,"High Value","Low Value")</f>
        <v>Low Value</v>
      </c>
    </row>
    <row r="46" spans="1:11" x14ac:dyDescent="0.25">
      <c r="A46" s="6">
        <v>45398</v>
      </c>
      <c r="B46" s="5" t="s">
        <v>61</v>
      </c>
      <c r="C46" s="5" t="s">
        <v>19</v>
      </c>
      <c r="D46" s="7">
        <v>1711.72</v>
      </c>
      <c r="E46" s="10">
        <v>0.08</v>
      </c>
      <c r="F46" s="5" t="s">
        <v>12</v>
      </c>
      <c r="G46" s="5" t="s">
        <v>67</v>
      </c>
      <c r="H46" s="7">
        <f t="shared" si="2"/>
        <v>136.9376</v>
      </c>
      <c r="I46" s="7">
        <f t="shared" si="3"/>
        <v>1574.7824000000001</v>
      </c>
      <c r="J46" s="7" t="str">
        <f>TEXT(Sheet1[[#This Row],[Date]],"dddd")</f>
        <v>Tuesday</v>
      </c>
      <c r="K46" s="7" t="str">
        <f>IF(Sheet1[[#This Row],[Amount]]&gt;1000,"High Value","Low Value")</f>
        <v>High Value</v>
      </c>
    </row>
    <row r="47" spans="1:11" x14ac:dyDescent="0.25">
      <c r="A47" s="6">
        <v>45397</v>
      </c>
      <c r="B47" s="5" t="s">
        <v>62</v>
      </c>
      <c r="C47" s="5" t="s">
        <v>7</v>
      </c>
      <c r="D47" s="7">
        <v>1989.33</v>
      </c>
      <c r="E47" s="10">
        <v>0.08</v>
      </c>
      <c r="F47" s="5" t="s">
        <v>8</v>
      </c>
      <c r="G47" s="5" t="s">
        <v>13</v>
      </c>
      <c r="H47" s="7">
        <f t="shared" si="2"/>
        <v>159.1464</v>
      </c>
      <c r="I47" s="7">
        <f t="shared" si="3"/>
        <v>1830.1835999999998</v>
      </c>
      <c r="J47" s="7" t="str">
        <f>TEXT(Sheet1[[#This Row],[Date]],"dddd")</f>
        <v>Monday</v>
      </c>
      <c r="K47" s="7" t="str">
        <f>IF(Sheet1[[#This Row],[Amount]]&gt;1000,"High Value","Low Value")</f>
        <v>High Value</v>
      </c>
    </row>
    <row r="48" spans="1:11" x14ac:dyDescent="0.25">
      <c r="A48" s="6">
        <v>45459</v>
      </c>
      <c r="B48" s="5" t="s">
        <v>63</v>
      </c>
      <c r="C48" s="5" t="s">
        <v>17</v>
      </c>
      <c r="D48" s="7">
        <v>2325.77</v>
      </c>
      <c r="E48" s="10">
        <v>0.08</v>
      </c>
      <c r="F48" s="5" t="s">
        <v>8</v>
      </c>
      <c r="G48" s="5" t="s">
        <v>67</v>
      </c>
      <c r="H48" s="7">
        <f t="shared" si="2"/>
        <v>186.0616</v>
      </c>
      <c r="I48" s="7">
        <f t="shared" si="3"/>
        <v>2139.7084</v>
      </c>
      <c r="J48" s="7" t="str">
        <f>TEXT(Sheet1[[#This Row],[Date]],"dddd")</f>
        <v>Sunday</v>
      </c>
      <c r="K48" s="7" t="str">
        <f>IF(Sheet1[[#This Row],[Amount]]&gt;1000,"High Value","Low Value")</f>
        <v>High Value</v>
      </c>
    </row>
    <row r="49" spans="1:11" x14ac:dyDescent="0.25">
      <c r="A49" s="6">
        <v>45421</v>
      </c>
      <c r="B49" s="5" t="s">
        <v>64</v>
      </c>
      <c r="C49" s="5" t="s">
        <v>19</v>
      </c>
      <c r="D49" s="7">
        <v>140.88999999999999</v>
      </c>
      <c r="E49" s="10">
        <v>0.08</v>
      </c>
      <c r="F49" s="5" t="s">
        <v>21</v>
      </c>
      <c r="G49" s="5" t="s">
        <v>67</v>
      </c>
      <c r="H49" s="7">
        <f t="shared" si="2"/>
        <v>11.271199999999999</v>
      </c>
      <c r="I49" s="7">
        <f t="shared" si="3"/>
        <v>129.61879999999999</v>
      </c>
      <c r="J49" s="7" t="str">
        <f>TEXT(Sheet1[[#This Row],[Date]],"dddd")</f>
        <v>Thursday</v>
      </c>
      <c r="K49" s="7" t="str">
        <f>IF(Sheet1[[#This Row],[Amount]]&gt;1000,"High Value","Low Value")</f>
        <v>Low Value</v>
      </c>
    </row>
    <row r="50" spans="1:11" x14ac:dyDescent="0.25">
      <c r="A50" s="6">
        <v>45446</v>
      </c>
      <c r="B50" s="5" t="s">
        <v>65</v>
      </c>
      <c r="C50" s="5" t="s">
        <v>7</v>
      </c>
      <c r="D50" s="7">
        <v>717.42</v>
      </c>
      <c r="E50" s="10">
        <v>0.08</v>
      </c>
      <c r="F50" s="5" t="s">
        <v>12</v>
      </c>
      <c r="G50" s="5" t="s">
        <v>67</v>
      </c>
      <c r="H50" s="7">
        <f t="shared" si="2"/>
        <v>57.393599999999999</v>
      </c>
      <c r="I50" s="7">
        <f t="shared" si="3"/>
        <v>660.02639999999997</v>
      </c>
      <c r="J50" s="7" t="str">
        <f>TEXT(Sheet1[[#This Row],[Date]],"dddd")</f>
        <v>Monday</v>
      </c>
      <c r="K50" s="7" t="str">
        <f>IF(Sheet1[[#This Row],[Amount]]&gt;1000,"High Value","Low Value")</f>
        <v>Low Value</v>
      </c>
    </row>
    <row r="51" spans="1:11" x14ac:dyDescent="0.25">
      <c r="A51" s="6">
        <v>45532</v>
      </c>
      <c r="B51" s="5" t="s">
        <v>66</v>
      </c>
      <c r="C51" s="5" t="s">
        <v>19</v>
      </c>
      <c r="D51" s="7">
        <v>2118.61</v>
      </c>
      <c r="E51" s="10">
        <v>0.08</v>
      </c>
      <c r="F51" s="5" t="s">
        <v>8</v>
      </c>
      <c r="G51" s="5" t="s">
        <v>67</v>
      </c>
      <c r="H51" s="7">
        <f t="shared" si="2"/>
        <v>169.48880000000003</v>
      </c>
      <c r="I51" s="7">
        <f t="shared" si="3"/>
        <v>1949.1212</v>
      </c>
      <c r="J51" s="7" t="str">
        <f>TEXT(Sheet1[[#This Row],[Date]],"dddd")</f>
        <v>Wednesday</v>
      </c>
      <c r="K51" s="7" t="str">
        <f>IF(Sheet1[[#This Row],[Amount]]&gt;1000,"High Value","Low Value")</f>
        <v>High Value</v>
      </c>
    </row>
    <row r="53" spans="1:11" x14ac:dyDescent="0.25">
      <c r="A53" s="14" t="s">
        <v>72</v>
      </c>
      <c r="B53" s="14">
        <f>COUNTIF(Sheet1[Status],"Paid")</f>
        <v>17</v>
      </c>
      <c r="D53" s="5" t="s">
        <v>79</v>
      </c>
      <c r="E53" s="5" t="s">
        <v>80</v>
      </c>
      <c r="F53" s="5" t="s">
        <v>81</v>
      </c>
      <c r="H53" s="13" t="s">
        <v>82</v>
      </c>
    </row>
    <row r="54" spans="1:11" x14ac:dyDescent="0.25">
      <c r="A54" s="14" t="s">
        <v>73</v>
      </c>
      <c r="B54" s="15">
        <f>SUMIF(Sheet1[Category],"Furniture",Sheet1[Amount])</f>
        <v>9695.89</v>
      </c>
      <c r="D54" s="5">
        <v>0.08</v>
      </c>
      <c r="E54" s="7">
        <f>AVERAGE(Sheet1[Net Amount])</f>
        <v>1146.9502559999999</v>
      </c>
      <c r="F54" s="11">
        <v>0</v>
      </c>
    </row>
    <row r="55" spans="1:11" x14ac:dyDescent="0.25">
      <c r="A55" s="14" t="s">
        <v>74</v>
      </c>
      <c r="B55" s="15">
        <f>AVERAGEIF(Sheet1[Status],"Paid",Sheet1[Amount])</f>
        <v>1246.8664705882356</v>
      </c>
      <c r="D55" s="5">
        <v>0.1</v>
      </c>
      <c r="E55" s="7">
        <v>1120.7750399999998</v>
      </c>
      <c r="F55" s="12">
        <f>(E$54-E55)/E$54</f>
        <v>2.2821579107786601E-2</v>
      </c>
    </row>
    <row r="56" spans="1:11" x14ac:dyDescent="0.25">
      <c r="B56" s="1"/>
      <c r="D56" s="5">
        <v>0.12</v>
      </c>
      <c r="E56" s="7">
        <v>1095.8689280000001</v>
      </c>
      <c r="F56" s="12">
        <f>(E$54-E56)/E$54</f>
        <v>4.4536655127613282E-2</v>
      </c>
    </row>
  </sheetData>
  <conditionalFormatting sqref="A2:K51">
    <cfRule type="expression" dxfId="3" priority="6">
      <formula>$D2&gt;1500</formula>
    </cfRule>
  </conditionalFormatting>
  <conditionalFormatting sqref="D53:E56 F53 H5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{1153DF97-DE5C-4502-BDC1-0E5146093107}</x14:id>
        </ext>
      </extLst>
    </cfRule>
  </conditionalFormatting>
  <conditionalFormatting sqref="D53:F56 H53">
    <cfRule type="colorScale" priority="1">
      <colorScale>
        <cfvo type="min"/>
        <cfvo type="max"/>
        <color rgb="FFF8696B"/>
        <color rgb="FFFCFCFF"/>
      </colorScale>
    </cfRule>
  </conditionalFormatting>
  <conditionalFormatting sqref="E52">
    <cfRule type="expression" dxfId="2" priority="10">
      <formula>#REF!="Unpaid"</formula>
    </cfRule>
  </conditionalFormatting>
  <conditionalFormatting sqref="E57:E1048576">
    <cfRule type="expression" dxfId="1" priority="9">
      <formula>$E58="Unpaid"</formula>
    </cfRule>
  </conditionalFormatting>
  <conditionalFormatting sqref="F2:F51">
    <cfRule type="expression" dxfId="0" priority="5">
      <formula>$F2="Unpaid"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53DF97-DE5C-4502-BDC1-0E51460931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D53:E56 F53 H53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40102-B69B-40AB-B182-1952F48BC12B}">
  <dimension ref="A1:E17"/>
  <sheetViews>
    <sheetView zoomScale="85" zoomScaleNormal="85" workbookViewId="0">
      <selection activeCell="G15" sqref="G15"/>
    </sheetView>
  </sheetViews>
  <sheetFormatPr defaultRowHeight="15" x14ac:dyDescent="0.25"/>
  <cols>
    <col min="1" max="1" width="34.7109375" bestFit="1" customWidth="1"/>
    <col min="2" max="2" width="16.85546875" bestFit="1" customWidth="1"/>
    <col min="3" max="6" width="11.28515625" bestFit="1" customWidth="1"/>
    <col min="7" max="7" width="18.85546875" bestFit="1" customWidth="1"/>
    <col min="8" max="8" width="15.85546875" bestFit="1" customWidth="1"/>
    <col min="9" max="9" width="19.85546875" bestFit="1" customWidth="1"/>
    <col min="10" max="10" width="20.85546875" bestFit="1" customWidth="1"/>
  </cols>
  <sheetData>
    <row r="1" spans="1:5" x14ac:dyDescent="0.25">
      <c r="A1" s="3" t="s">
        <v>75</v>
      </c>
      <c r="B1" s="3" t="s">
        <v>3</v>
      </c>
      <c r="C1" s="2" t="s">
        <v>76</v>
      </c>
      <c r="D1" s="2" t="s">
        <v>3</v>
      </c>
    </row>
    <row r="2" spans="1:5" x14ac:dyDescent="0.25">
      <c r="A2" s="4" t="s">
        <v>7</v>
      </c>
      <c r="B2" s="5">
        <f>SUMIF(Practice!C$2:C$51,"Groceries",Practice!D$2:D$51)</f>
        <v>7905.23</v>
      </c>
      <c r="C2" s="4" t="s">
        <v>8</v>
      </c>
      <c r="D2">
        <f>SUMIF(Practice!F$2:F$51,"Pending",Practice!D$2:D$51)</f>
        <v>20499.64</v>
      </c>
    </row>
    <row r="3" spans="1:5" x14ac:dyDescent="0.25">
      <c r="A3" s="4" t="s">
        <v>11</v>
      </c>
      <c r="B3" s="5">
        <f>SUMIF(Practice!C$2:C$51,"Clothing",Practice!D$2:D$51)</f>
        <v>15246.133043478259</v>
      </c>
      <c r="C3" s="4" t="s">
        <v>12</v>
      </c>
      <c r="D3">
        <f>SUMIF(Practice!F$2:F$51,"Unpaid",Practice!D$2:D$51)</f>
        <v>20637.883043478261</v>
      </c>
    </row>
    <row r="4" spans="1:5" x14ac:dyDescent="0.25">
      <c r="A4" s="4" t="s">
        <v>17</v>
      </c>
      <c r="B4" s="5">
        <f>SUMIF(Practice!C$2:C$51,"Toys",Practice!D$2:D$51)</f>
        <v>16692.5</v>
      </c>
      <c r="C4" s="4" t="s">
        <v>21</v>
      </c>
      <c r="D4">
        <f>SUMIF(Practice!F$2:F$51,"Paid",Practice!D$2:D$51)</f>
        <v>21196.730000000007</v>
      </c>
    </row>
    <row r="5" spans="1:5" x14ac:dyDescent="0.25">
      <c r="A5" s="4" t="s">
        <v>19</v>
      </c>
      <c r="B5" s="5">
        <f>SUMIF(Practice!C$2:C$51,"Electronics",Practice!D$2:D$51)</f>
        <v>12794.5</v>
      </c>
    </row>
    <row r="6" spans="1:5" x14ac:dyDescent="0.25">
      <c r="A6" s="4" t="s">
        <v>28</v>
      </c>
      <c r="B6" s="5">
        <f>SUMIF(Practice!C$2:C$51,"Furniture",Practice!D$2:D$51)</f>
        <v>9695.89</v>
      </c>
    </row>
    <row r="10" spans="1:5" x14ac:dyDescent="0.25">
      <c r="A10" s="8" t="s">
        <v>78</v>
      </c>
      <c r="B10" s="8" t="s">
        <v>4</v>
      </c>
    </row>
    <row r="11" spans="1:5" x14ac:dyDescent="0.25">
      <c r="A11" s="8" t="s">
        <v>2</v>
      </c>
      <c r="B11" t="s">
        <v>21</v>
      </c>
      <c r="C11" t="s">
        <v>8</v>
      </c>
      <c r="D11" t="s">
        <v>12</v>
      </c>
      <c r="E11" t="s">
        <v>77</v>
      </c>
    </row>
    <row r="12" spans="1:5" x14ac:dyDescent="0.25">
      <c r="A12" s="9" t="s">
        <v>11</v>
      </c>
      <c r="B12" s="1">
        <v>8730.14</v>
      </c>
      <c r="C12" s="1">
        <v>2221.11</v>
      </c>
      <c r="D12" s="1">
        <v>4225.91</v>
      </c>
      <c r="E12" s="1">
        <v>15177.16</v>
      </c>
    </row>
    <row r="13" spans="1:5" x14ac:dyDescent="0.25">
      <c r="A13" s="9" t="s">
        <v>19</v>
      </c>
      <c r="B13" s="1">
        <v>3495.99</v>
      </c>
      <c r="C13" s="1">
        <v>3450.42</v>
      </c>
      <c r="D13" s="1">
        <v>5848.09</v>
      </c>
      <c r="E13" s="1">
        <v>12794.5</v>
      </c>
    </row>
    <row r="14" spans="1:5" x14ac:dyDescent="0.25">
      <c r="A14" s="9" t="s">
        <v>28</v>
      </c>
      <c r="B14" s="1">
        <v>3141.37</v>
      </c>
      <c r="C14" s="1">
        <v>2759.02</v>
      </c>
      <c r="D14" s="1">
        <v>3795.5</v>
      </c>
      <c r="E14" s="1">
        <v>9695.89</v>
      </c>
    </row>
    <row r="15" spans="1:5" x14ac:dyDescent="0.25">
      <c r="A15" s="9" t="s">
        <v>7</v>
      </c>
      <c r="B15" s="1">
        <v>1804.57</v>
      </c>
      <c r="C15" s="1">
        <v>4422.8999999999996</v>
      </c>
      <c r="D15" s="1">
        <v>1677.76</v>
      </c>
      <c r="E15" s="1">
        <v>7905.23</v>
      </c>
    </row>
    <row r="16" spans="1:5" x14ac:dyDescent="0.25">
      <c r="A16" s="9" t="s">
        <v>17</v>
      </c>
      <c r="B16" s="1">
        <v>4024.66</v>
      </c>
      <c r="C16" s="1">
        <v>7646.1900000000005</v>
      </c>
      <c r="D16" s="1">
        <v>5021.6499999999996</v>
      </c>
      <c r="E16" s="1">
        <v>16692.5</v>
      </c>
    </row>
    <row r="17" spans="1:5" x14ac:dyDescent="0.25">
      <c r="A17" s="9" t="s">
        <v>77</v>
      </c>
      <c r="B17" s="1">
        <v>21196.73</v>
      </c>
      <c r="C17" s="1">
        <v>20499.64</v>
      </c>
      <c r="D17" s="1">
        <v>20568.91</v>
      </c>
      <c r="E17" s="1">
        <v>62265.279999999999</v>
      </c>
    </row>
  </sheetData>
  <conditionalFormatting sqref="A2:B6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{347BCA44-C522-4AA9-BDC3-F2E35817BEEA}</x14:id>
        </ext>
      </extLst>
    </cfRule>
  </conditionalFormatting>
  <conditionalFormatting sqref="C1:D4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{B0A4A60C-E815-462F-BDB6-6F2A5BEF4AD4}</x14:id>
        </ext>
      </extLst>
    </cfRule>
  </conditionalFormatting>
  <pageMargins left="0.7" right="0.7" top="0.75" bottom="0.75" header="0.3" footer="0.3"/>
  <pageSetup orientation="portrait" r:id="rId2"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7BCA44-C522-4AA9-BDC3-F2E35817BE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A2:B6</xm:sqref>
        </x14:conditionalFormatting>
        <x14:conditionalFormatting xmlns:xm="http://schemas.microsoft.com/office/excel/2006/main">
          <x14:cfRule type="dataBar" id="{B0A4A60C-E815-462F-BDB6-6F2A5BEF4AD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C1:D4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4756A8-C7AD-49D8-B291-ED51D9944F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</vt:lpstr>
      <vt:lpstr>Summary and 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Remuel</dc:creator>
  <cp:lastModifiedBy>Remuel</cp:lastModifiedBy>
  <dcterms:created xsi:type="dcterms:W3CDTF">2025-11-10T06:48:45Z</dcterms:created>
  <dcterms:modified xsi:type="dcterms:W3CDTF">2025-11-13T05:18:21Z</dcterms:modified>
</cp:coreProperties>
</file>